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690" yWindow="480" windowWidth="17190" windowHeight="11220"/>
  </bookViews>
  <sheets>
    <sheet name="RAPORT" sheetId="1" r:id="rId1"/>
    <sheet name="SPRZEDAŻ" sheetId="3" r:id="rId2"/>
    <sheet name="PL" sheetId="6" r:id="rId3"/>
    <sheet name="RW" sheetId="7" r:id="rId4"/>
    <sheet name="REP" sheetId="5" state="veryHidden" r:id="rId5"/>
    <sheet name="BUDŻET" sheetId="4" r:id="rId6"/>
    <sheet name="Dane2021" sheetId="8" state="hidden" r:id="rId7"/>
    <sheet name="Arkusz1" sheetId="9" r:id="rId8"/>
  </sheets>
  <definedNames>
    <definedName name="FormatSklepu">BUDŻET!$C$3:$F$3</definedName>
  </definedNames>
  <calcPr calcId="145621"/>
</workbook>
</file>

<file path=xl/calcChain.xml><?xml version="1.0" encoding="utf-8"?>
<calcChain xmlns="http://schemas.openxmlformats.org/spreadsheetml/2006/main">
  <c r="F11" i="6" l="1"/>
  <c r="E11" i="6"/>
  <c r="G11" i="6"/>
  <c r="K13" i="1" l="1"/>
  <c r="K73" i="1" l="1"/>
  <c r="K74" i="1"/>
  <c r="K75" i="1"/>
  <c r="K76" i="1"/>
  <c r="K72" i="1"/>
  <c r="K69" i="1"/>
  <c r="K55" i="1"/>
  <c r="K56" i="1"/>
  <c r="K57" i="1"/>
  <c r="K58" i="1"/>
  <c r="K59" i="1"/>
  <c r="K60" i="1"/>
  <c r="K61" i="1"/>
  <c r="K62" i="1"/>
  <c r="K63" i="1"/>
  <c r="K64" i="1"/>
  <c r="K65" i="1"/>
  <c r="K54" i="1"/>
  <c r="K38" i="1"/>
  <c r="K39" i="1"/>
  <c r="K40" i="1"/>
  <c r="K41" i="1"/>
  <c r="K42" i="1"/>
  <c r="K43" i="1"/>
  <c r="K44" i="1"/>
  <c r="K45" i="1"/>
  <c r="K46" i="1"/>
  <c r="K47" i="1"/>
  <c r="K48" i="1"/>
  <c r="K49" i="1"/>
  <c r="K37" i="1"/>
  <c r="K24" i="1"/>
  <c r="K25" i="1"/>
  <c r="K26" i="1"/>
  <c r="K27" i="1"/>
  <c r="K28" i="1"/>
  <c r="K29" i="1"/>
  <c r="K30" i="1"/>
  <c r="K31" i="1"/>
  <c r="K32" i="1"/>
  <c r="K23" i="1"/>
  <c r="K14" i="1"/>
  <c r="K15" i="1"/>
  <c r="K16" i="1"/>
  <c r="K17" i="1"/>
  <c r="K18" i="1"/>
  <c r="K19" i="1"/>
  <c r="K20" i="1"/>
  <c r="U22" i="1" l="1"/>
  <c r="D38" i="8" l="1"/>
  <c r="M73" i="1" l="1"/>
  <c r="M74" i="1"/>
  <c r="M75" i="1"/>
  <c r="M76" i="1"/>
  <c r="M72" i="1"/>
  <c r="M69" i="1"/>
  <c r="M70" i="1" s="1"/>
  <c r="M55" i="1"/>
  <c r="M56" i="1"/>
  <c r="M57" i="1"/>
  <c r="M58" i="1"/>
  <c r="M59" i="1"/>
  <c r="M60" i="1"/>
  <c r="M61" i="1"/>
  <c r="M62" i="1"/>
  <c r="M63" i="1"/>
  <c r="M64" i="1"/>
  <c r="M65" i="1"/>
  <c r="M54" i="1"/>
  <c r="M38" i="1"/>
  <c r="M39" i="1"/>
  <c r="M40" i="1"/>
  <c r="M41" i="1"/>
  <c r="M42" i="1"/>
  <c r="M43" i="1"/>
  <c r="M44" i="1"/>
  <c r="M45" i="1"/>
  <c r="M46" i="1"/>
  <c r="M47" i="1"/>
  <c r="M48" i="1"/>
  <c r="M49" i="1"/>
  <c r="M37" i="1"/>
  <c r="M24" i="1"/>
  <c r="M25" i="1"/>
  <c r="M26" i="1"/>
  <c r="M27" i="1"/>
  <c r="M28" i="1"/>
  <c r="M29" i="1"/>
  <c r="M30" i="1"/>
  <c r="M31" i="1"/>
  <c r="M32" i="1"/>
  <c r="M23" i="1"/>
  <c r="M14" i="1"/>
  <c r="M15" i="1"/>
  <c r="M16" i="1"/>
  <c r="M17" i="1"/>
  <c r="M18" i="1"/>
  <c r="M19" i="1"/>
  <c r="M20" i="1"/>
  <c r="M13" i="1"/>
  <c r="M66" i="1" l="1"/>
  <c r="M50" i="1"/>
  <c r="M33" i="1"/>
  <c r="M21" i="1"/>
  <c r="C12" i="4"/>
  <c r="E12" i="4"/>
  <c r="D12" i="4"/>
  <c r="K59" i="4"/>
  <c r="J59" i="4"/>
  <c r="I59" i="4"/>
  <c r="K52" i="4"/>
  <c r="J52" i="4"/>
  <c r="I52" i="4"/>
  <c r="K39" i="4"/>
  <c r="J39" i="4"/>
  <c r="I39" i="4"/>
  <c r="K38" i="4"/>
  <c r="J38" i="4"/>
  <c r="I38" i="4"/>
  <c r="K24" i="4"/>
  <c r="J24" i="4"/>
  <c r="I24" i="4"/>
  <c r="K23" i="4"/>
  <c r="M34" i="1" l="1"/>
  <c r="M51" i="1" s="1"/>
  <c r="C13" i="4"/>
  <c r="K12" i="8"/>
  <c r="K12" i="4"/>
  <c r="J12" i="8"/>
  <c r="J12" i="4"/>
  <c r="I12" i="8"/>
  <c r="I12" i="4"/>
  <c r="E52" i="8"/>
  <c r="D52" i="8"/>
  <c r="C52" i="8" s="1"/>
  <c r="E52" i="4"/>
  <c r="D52" i="4"/>
  <c r="C52" i="4"/>
  <c r="I35" i="4"/>
  <c r="E38" i="4"/>
  <c r="D38" i="4"/>
  <c r="C38" i="4"/>
  <c r="I23" i="4"/>
  <c r="J23" i="4"/>
  <c r="C24" i="4"/>
  <c r="D24" i="4"/>
  <c r="E24" i="4"/>
  <c r="E23" i="4"/>
  <c r="D24" i="8"/>
  <c r="D23" i="4"/>
  <c r="K53" i="4"/>
  <c r="J53" i="4"/>
  <c r="I53" i="4"/>
  <c r="I5" i="4"/>
  <c r="J5" i="4"/>
  <c r="K5" i="4"/>
  <c r="I6" i="4"/>
  <c r="J6" i="4"/>
  <c r="K6" i="4"/>
  <c r="I7" i="4"/>
  <c r="J7" i="4"/>
  <c r="K7" i="4"/>
  <c r="I8" i="4"/>
  <c r="J8" i="4"/>
  <c r="K8" i="4"/>
  <c r="I9" i="4"/>
  <c r="J9" i="4"/>
  <c r="K9" i="4"/>
  <c r="I10" i="4"/>
  <c r="J10" i="4"/>
  <c r="K10" i="4"/>
  <c r="I11" i="4"/>
  <c r="J11" i="4"/>
  <c r="K11" i="4"/>
  <c r="I13" i="4"/>
  <c r="J13" i="4"/>
  <c r="K13" i="4"/>
  <c r="I14" i="4"/>
  <c r="J14" i="4"/>
  <c r="K14" i="4"/>
  <c r="I15" i="4"/>
  <c r="J15" i="4"/>
  <c r="K15" i="4"/>
  <c r="I16" i="4"/>
  <c r="J16" i="4"/>
  <c r="K16" i="4"/>
  <c r="I17" i="4"/>
  <c r="J17" i="4"/>
  <c r="K17" i="4"/>
  <c r="I18" i="4"/>
  <c r="J18" i="4"/>
  <c r="K18" i="4"/>
  <c r="I19" i="4"/>
  <c r="J19" i="4"/>
  <c r="K19" i="4"/>
  <c r="I20" i="4"/>
  <c r="J20" i="4"/>
  <c r="K20" i="4"/>
  <c r="I21" i="4"/>
  <c r="J21" i="4"/>
  <c r="K21" i="4"/>
  <c r="K22" i="4"/>
  <c r="I25" i="4"/>
  <c r="J25" i="4"/>
  <c r="K25" i="4"/>
  <c r="I26" i="4"/>
  <c r="J26" i="4"/>
  <c r="K26" i="4"/>
  <c r="I27" i="4"/>
  <c r="J27" i="4"/>
  <c r="K27" i="4"/>
  <c r="I28" i="4"/>
  <c r="J28" i="4"/>
  <c r="K28" i="4"/>
  <c r="I29" i="4"/>
  <c r="J29" i="4"/>
  <c r="K29" i="4"/>
  <c r="I30" i="4"/>
  <c r="J30" i="4"/>
  <c r="K30" i="4"/>
  <c r="I31" i="4"/>
  <c r="J31" i="4"/>
  <c r="K31" i="4"/>
  <c r="I32" i="4"/>
  <c r="J32" i="4"/>
  <c r="K32" i="4"/>
  <c r="I33" i="4"/>
  <c r="J33" i="4"/>
  <c r="K33" i="4"/>
  <c r="I34" i="4"/>
  <c r="J34" i="4"/>
  <c r="K34" i="4"/>
  <c r="J35" i="4"/>
  <c r="K35" i="4"/>
  <c r="I36" i="4"/>
  <c r="J36" i="4"/>
  <c r="K36" i="4"/>
  <c r="I37" i="4"/>
  <c r="J37" i="4"/>
  <c r="K37" i="4"/>
  <c r="K4" i="4"/>
  <c r="J4" i="4"/>
  <c r="I4" i="4"/>
  <c r="E53" i="4"/>
  <c r="D53" i="4"/>
  <c r="D5" i="4"/>
  <c r="E5" i="4"/>
  <c r="D6" i="4"/>
  <c r="E6" i="4"/>
  <c r="D7" i="4"/>
  <c r="E7" i="4"/>
  <c r="D8" i="4"/>
  <c r="E8" i="4"/>
  <c r="D9" i="4"/>
  <c r="E9" i="4"/>
  <c r="D10" i="4"/>
  <c r="E10" i="4"/>
  <c r="D11" i="4"/>
  <c r="E11" i="4"/>
  <c r="D13" i="4"/>
  <c r="E13" i="4"/>
  <c r="D14" i="4"/>
  <c r="E14" i="4"/>
  <c r="D15" i="4"/>
  <c r="E15" i="4"/>
  <c r="D16" i="4"/>
  <c r="E16" i="4"/>
  <c r="D17" i="4"/>
  <c r="E17" i="4"/>
  <c r="D18" i="4"/>
  <c r="E18" i="4"/>
  <c r="D19" i="4"/>
  <c r="E19" i="4"/>
  <c r="D20" i="4"/>
  <c r="E20" i="4"/>
  <c r="D21" i="4"/>
  <c r="E21" i="4"/>
  <c r="D22" i="4"/>
  <c r="E22" i="4"/>
  <c r="D25" i="4"/>
  <c r="E25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7" i="4"/>
  <c r="E37" i="4"/>
  <c r="E4" i="4"/>
  <c r="D4" i="4"/>
  <c r="C4" i="4"/>
  <c r="C53" i="4"/>
  <c r="C5" i="4"/>
  <c r="C6" i="4"/>
  <c r="C7" i="4"/>
  <c r="C8" i="4"/>
  <c r="C9" i="4"/>
  <c r="C10" i="4"/>
  <c r="C11" i="4"/>
  <c r="C14" i="4"/>
  <c r="C15" i="4"/>
  <c r="C16" i="4"/>
  <c r="C17" i="4"/>
  <c r="C18" i="4"/>
  <c r="C19" i="4"/>
  <c r="C20" i="4"/>
  <c r="C21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H1" i="8"/>
  <c r="G1" i="8"/>
  <c r="F1" i="8"/>
  <c r="E1" i="8"/>
  <c r="D1" i="8"/>
  <c r="C1" i="8"/>
  <c r="C23" i="4" l="1"/>
  <c r="I31" i="1"/>
  <c r="H31" i="1"/>
  <c r="L31" i="1" s="1"/>
  <c r="G31" i="1"/>
  <c r="F31" i="1"/>
  <c r="E31" i="1"/>
  <c r="Q31" i="1"/>
  <c r="Q30" i="1"/>
  <c r="I30" i="1"/>
  <c r="H30" i="1"/>
  <c r="L30" i="1" s="1"/>
  <c r="G30" i="1"/>
  <c r="F30" i="1"/>
  <c r="E30" i="1"/>
  <c r="Q66" i="1"/>
  <c r="Q50" i="1"/>
  <c r="Q21" i="1"/>
  <c r="E64" i="1"/>
  <c r="F64" i="1"/>
  <c r="G64" i="1"/>
  <c r="H64" i="1"/>
  <c r="L64" i="1" s="1"/>
  <c r="I64" i="1"/>
  <c r="Q64" i="1"/>
  <c r="E65" i="1"/>
  <c r="F65" i="1"/>
  <c r="G65" i="1"/>
  <c r="H65" i="1"/>
  <c r="L65" i="1" s="1"/>
  <c r="I65" i="1"/>
  <c r="Q65" i="1"/>
  <c r="I76" i="1"/>
  <c r="I75" i="1"/>
  <c r="I74" i="1"/>
  <c r="I73" i="1"/>
  <c r="I72" i="1"/>
  <c r="I69" i="1"/>
  <c r="I70" i="1" s="1"/>
  <c r="I63" i="1"/>
  <c r="I62" i="1"/>
  <c r="I61" i="1"/>
  <c r="I60" i="1"/>
  <c r="I59" i="1"/>
  <c r="I58" i="1"/>
  <c r="I57" i="1"/>
  <c r="I56" i="1"/>
  <c r="I55" i="1"/>
  <c r="I54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2" i="1"/>
  <c r="I29" i="1"/>
  <c r="I28" i="1"/>
  <c r="I27" i="1"/>
  <c r="I26" i="1"/>
  <c r="I25" i="1"/>
  <c r="I24" i="1"/>
  <c r="I23" i="1"/>
  <c r="I20" i="1"/>
  <c r="I19" i="1"/>
  <c r="I18" i="1"/>
  <c r="I17" i="1"/>
  <c r="I16" i="1"/>
  <c r="I15" i="1"/>
  <c r="I14" i="1"/>
  <c r="I13" i="1"/>
  <c r="H76" i="1"/>
  <c r="L76" i="1" s="1"/>
  <c r="G76" i="1"/>
  <c r="F76" i="1"/>
  <c r="E76" i="1"/>
  <c r="H75" i="1"/>
  <c r="L75" i="1" s="1"/>
  <c r="G75" i="1"/>
  <c r="F75" i="1"/>
  <c r="E75" i="1"/>
  <c r="H74" i="1"/>
  <c r="L74" i="1" s="1"/>
  <c r="G74" i="1"/>
  <c r="F74" i="1"/>
  <c r="E74" i="1"/>
  <c r="H73" i="1"/>
  <c r="L73" i="1" s="1"/>
  <c r="G73" i="1"/>
  <c r="F73" i="1"/>
  <c r="E73" i="1"/>
  <c r="H72" i="1"/>
  <c r="L72" i="1" s="1"/>
  <c r="G72" i="1"/>
  <c r="F72" i="1"/>
  <c r="E72" i="1"/>
  <c r="H69" i="1"/>
  <c r="G69" i="1"/>
  <c r="G70" i="1" s="1"/>
  <c r="F69" i="1"/>
  <c r="E69" i="1"/>
  <c r="E70" i="1" s="1"/>
  <c r="H63" i="1"/>
  <c r="L63" i="1" s="1"/>
  <c r="G63" i="1"/>
  <c r="F63" i="1"/>
  <c r="E63" i="1"/>
  <c r="H62" i="1"/>
  <c r="L62" i="1" s="1"/>
  <c r="G62" i="1"/>
  <c r="F62" i="1"/>
  <c r="E62" i="1"/>
  <c r="H61" i="1"/>
  <c r="L61" i="1" s="1"/>
  <c r="G61" i="1"/>
  <c r="F61" i="1"/>
  <c r="E61" i="1"/>
  <c r="H60" i="1"/>
  <c r="L60" i="1" s="1"/>
  <c r="G60" i="1"/>
  <c r="F60" i="1"/>
  <c r="E60" i="1"/>
  <c r="H59" i="1"/>
  <c r="L59" i="1" s="1"/>
  <c r="G59" i="1"/>
  <c r="F59" i="1"/>
  <c r="E59" i="1"/>
  <c r="H58" i="1"/>
  <c r="L58" i="1" s="1"/>
  <c r="G58" i="1"/>
  <c r="F58" i="1"/>
  <c r="E58" i="1"/>
  <c r="H57" i="1"/>
  <c r="L57" i="1" s="1"/>
  <c r="G57" i="1"/>
  <c r="F57" i="1"/>
  <c r="E57" i="1"/>
  <c r="H56" i="1"/>
  <c r="L56" i="1" s="1"/>
  <c r="G56" i="1"/>
  <c r="F56" i="1"/>
  <c r="E56" i="1"/>
  <c r="H55" i="1"/>
  <c r="L55" i="1" s="1"/>
  <c r="G55" i="1"/>
  <c r="F55" i="1"/>
  <c r="E55" i="1"/>
  <c r="H54" i="1"/>
  <c r="L54" i="1" s="1"/>
  <c r="G54" i="1"/>
  <c r="F54" i="1"/>
  <c r="E54" i="1"/>
  <c r="H49" i="1"/>
  <c r="L49" i="1" s="1"/>
  <c r="G49" i="1"/>
  <c r="F49" i="1"/>
  <c r="E49" i="1"/>
  <c r="H48" i="1"/>
  <c r="L48" i="1" s="1"/>
  <c r="G48" i="1"/>
  <c r="F48" i="1"/>
  <c r="E48" i="1"/>
  <c r="H47" i="1"/>
  <c r="L47" i="1" s="1"/>
  <c r="G47" i="1"/>
  <c r="F47" i="1"/>
  <c r="E47" i="1"/>
  <c r="H46" i="1"/>
  <c r="L46" i="1" s="1"/>
  <c r="G46" i="1"/>
  <c r="F46" i="1"/>
  <c r="E46" i="1"/>
  <c r="H45" i="1"/>
  <c r="L45" i="1" s="1"/>
  <c r="G45" i="1"/>
  <c r="F45" i="1"/>
  <c r="E45" i="1"/>
  <c r="H44" i="1"/>
  <c r="L44" i="1" s="1"/>
  <c r="G44" i="1"/>
  <c r="F44" i="1"/>
  <c r="E44" i="1"/>
  <c r="H43" i="1"/>
  <c r="L43" i="1" s="1"/>
  <c r="G43" i="1"/>
  <c r="F43" i="1"/>
  <c r="E43" i="1"/>
  <c r="H42" i="1"/>
  <c r="L42" i="1" s="1"/>
  <c r="G42" i="1"/>
  <c r="F42" i="1"/>
  <c r="E42" i="1"/>
  <c r="H41" i="1"/>
  <c r="L41" i="1" s="1"/>
  <c r="G41" i="1"/>
  <c r="F41" i="1"/>
  <c r="E41" i="1"/>
  <c r="H40" i="1"/>
  <c r="L40" i="1" s="1"/>
  <c r="G40" i="1"/>
  <c r="F40" i="1"/>
  <c r="E40" i="1"/>
  <c r="H39" i="1"/>
  <c r="L39" i="1" s="1"/>
  <c r="G39" i="1"/>
  <c r="F39" i="1"/>
  <c r="E39" i="1"/>
  <c r="H38" i="1"/>
  <c r="L38" i="1" s="1"/>
  <c r="G38" i="1"/>
  <c r="F38" i="1"/>
  <c r="E38" i="1"/>
  <c r="H37" i="1"/>
  <c r="L37" i="1" s="1"/>
  <c r="G37" i="1"/>
  <c r="F37" i="1"/>
  <c r="E37" i="1"/>
  <c r="H32" i="1"/>
  <c r="L32" i="1" s="1"/>
  <c r="G32" i="1"/>
  <c r="F32" i="1"/>
  <c r="E32" i="1"/>
  <c r="H29" i="1"/>
  <c r="L29" i="1" s="1"/>
  <c r="G29" i="1"/>
  <c r="F29" i="1"/>
  <c r="E29" i="1"/>
  <c r="H28" i="1"/>
  <c r="L28" i="1" s="1"/>
  <c r="G28" i="1"/>
  <c r="F28" i="1"/>
  <c r="E28" i="1"/>
  <c r="H27" i="1"/>
  <c r="L27" i="1" s="1"/>
  <c r="G27" i="1"/>
  <c r="F27" i="1"/>
  <c r="E27" i="1"/>
  <c r="H26" i="1"/>
  <c r="L26" i="1" s="1"/>
  <c r="G26" i="1"/>
  <c r="F26" i="1"/>
  <c r="E26" i="1"/>
  <c r="H25" i="1"/>
  <c r="L25" i="1" s="1"/>
  <c r="G25" i="1"/>
  <c r="F25" i="1"/>
  <c r="E25" i="1"/>
  <c r="H24" i="1"/>
  <c r="L24" i="1" s="1"/>
  <c r="G24" i="1"/>
  <c r="F24" i="1"/>
  <c r="E24" i="1"/>
  <c r="H23" i="1"/>
  <c r="L23" i="1" s="1"/>
  <c r="G23" i="1"/>
  <c r="F23" i="1"/>
  <c r="E23" i="1"/>
  <c r="E14" i="1"/>
  <c r="F14" i="1"/>
  <c r="G14" i="1"/>
  <c r="H14" i="1"/>
  <c r="L14" i="1" s="1"/>
  <c r="E15" i="1"/>
  <c r="F15" i="1"/>
  <c r="G15" i="1"/>
  <c r="H15" i="1"/>
  <c r="L15" i="1" s="1"/>
  <c r="E16" i="1"/>
  <c r="F16" i="1"/>
  <c r="G16" i="1"/>
  <c r="H16" i="1"/>
  <c r="L16" i="1" s="1"/>
  <c r="E17" i="1"/>
  <c r="F17" i="1"/>
  <c r="G17" i="1"/>
  <c r="H17" i="1"/>
  <c r="L17" i="1" s="1"/>
  <c r="E18" i="1"/>
  <c r="F18" i="1"/>
  <c r="G18" i="1"/>
  <c r="H18" i="1"/>
  <c r="L18" i="1" s="1"/>
  <c r="E19" i="1"/>
  <c r="F19" i="1"/>
  <c r="G19" i="1"/>
  <c r="H19" i="1"/>
  <c r="L19" i="1" s="1"/>
  <c r="E20" i="1"/>
  <c r="F20" i="1"/>
  <c r="G20" i="1"/>
  <c r="H20" i="1"/>
  <c r="L20" i="1" s="1"/>
  <c r="H13" i="1"/>
  <c r="L13" i="1" s="1"/>
  <c r="G13" i="1"/>
  <c r="F13" i="1"/>
  <c r="E13" i="1"/>
  <c r="A7" i="1"/>
  <c r="A4" i="1" s="1"/>
  <c r="Q69" i="1"/>
  <c r="Q70" i="1" s="1"/>
  <c r="Q77" i="1"/>
  <c r="Q76" i="1"/>
  <c r="Q75" i="1"/>
  <c r="Q74" i="1"/>
  <c r="Q73" i="1"/>
  <c r="Q72" i="1"/>
  <c r="Q63" i="1"/>
  <c r="Q62" i="1"/>
  <c r="Q61" i="1"/>
  <c r="Q60" i="1"/>
  <c r="Q59" i="1"/>
  <c r="Q58" i="1"/>
  <c r="Q57" i="1"/>
  <c r="Q56" i="1"/>
  <c r="Q55" i="1"/>
  <c r="Q54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2" i="1"/>
  <c r="Q29" i="1"/>
  <c r="Q28" i="1"/>
  <c r="Q27" i="1"/>
  <c r="Q26" i="1"/>
  <c r="Q25" i="1"/>
  <c r="Q24" i="1"/>
  <c r="Q23" i="1"/>
  <c r="Q14" i="1"/>
  <c r="Q15" i="1"/>
  <c r="Q16" i="1"/>
  <c r="Q17" i="1"/>
  <c r="Q18" i="1"/>
  <c r="Q19" i="1"/>
  <c r="Q20" i="1"/>
  <c r="Q13" i="1"/>
  <c r="H55" i="4"/>
  <c r="H56" i="4"/>
  <c r="H57" i="4"/>
  <c r="H58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2" i="4"/>
  <c r="Q33" i="1"/>
  <c r="H54" i="4"/>
  <c r="H59" i="4"/>
  <c r="A8" i="1"/>
  <c r="A6" i="1"/>
  <c r="A1" i="1"/>
  <c r="N14" i="1"/>
  <c r="Q34" i="1"/>
  <c r="Q51" i="1"/>
  <c r="N13" i="1" l="1"/>
  <c r="N37" i="1"/>
  <c r="J15" i="1"/>
  <c r="U15" i="1" s="1"/>
  <c r="J73" i="1"/>
  <c r="P73" i="1" s="1"/>
  <c r="H70" i="1"/>
  <c r="L69" i="1"/>
  <c r="K70" i="1"/>
  <c r="J59" i="1"/>
  <c r="J63" i="1"/>
  <c r="J26" i="1"/>
  <c r="J56" i="1"/>
  <c r="J76" i="1"/>
  <c r="J45" i="1"/>
  <c r="J49" i="1"/>
  <c r="J75" i="1"/>
  <c r="I21" i="1"/>
  <c r="J41" i="1"/>
  <c r="J57" i="1"/>
  <c r="H33" i="1"/>
  <c r="J25" i="1"/>
  <c r="E33" i="1"/>
  <c r="J31" i="1"/>
  <c r="J19" i="1"/>
  <c r="J29" i="1"/>
  <c r="J43" i="1"/>
  <c r="J46" i="1"/>
  <c r="J54" i="1"/>
  <c r="J55" i="1"/>
  <c r="J58" i="1"/>
  <c r="J72" i="1"/>
  <c r="J13" i="1"/>
  <c r="I33" i="1"/>
  <c r="J30" i="1"/>
  <c r="G21" i="1"/>
  <c r="J20" i="1"/>
  <c r="J16" i="1"/>
  <c r="J32" i="1"/>
  <c r="J44" i="1"/>
  <c r="J65" i="1"/>
  <c r="J64" i="1"/>
  <c r="K21" i="1"/>
  <c r="J74" i="1"/>
  <c r="J38" i="1"/>
  <c r="J27" i="1"/>
  <c r="J28" i="1"/>
  <c r="H66" i="1"/>
  <c r="R61" i="1" s="1"/>
  <c r="J69" i="1"/>
  <c r="J40" i="1"/>
  <c r="J23" i="1"/>
  <c r="J24" i="1"/>
  <c r="J60" i="1"/>
  <c r="F70" i="1"/>
  <c r="J62" i="1"/>
  <c r="K33" i="1"/>
  <c r="K50" i="1"/>
  <c r="F21" i="1"/>
  <c r="E21" i="1"/>
  <c r="J47" i="1"/>
  <c r="F66" i="1"/>
  <c r="J17" i="1"/>
  <c r="J42" i="1"/>
  <c r="G66" i="1"/>
  <c r="J18" i="1"/>
  <c r="J48" i="1"/>
  <c r="N15" i="1"/>
  <c r="N26" i="1"/>
  <c r="N21" i="1"/>
  <c r="N25" i="1"/>
  <c r="N47" i="1"/>
  <c r="H21" i="1"/>
  <c r="N16" i="1"/>
  <c r="N17" i="1"/>
  <c r="N30" i="1"/>
  <c r="N39" i="1"/>
  <c r="N24" i="1"/>
  <c r="N18" i="1"/>
  <c r="N23" i="1"/>
  <c r="N48" i="1"/>
  <c r="N44" i="1"/>
  <c r="N20" i="1"/>
  <c r="N19" i="1"/>
  <c r="J14" i="1"/>
  <c r="U14" i="1" s="1"/>
  <c r="E50" i="1"/>
  <c r="J61" i="1"/>
  <c r="U61" i="1" s="1"/>
  <c r="I50" i="1"/>
  <c r="N60" i="1"/>
  <c r="N28" i="1"/>
  <c r="J37" i="1"/>
  <c r="U37" i="1" s="1"/>
  <c r="J39" i="1"/>
  <c r="U39" i="1" s="1"/>
  <c r="H50" i="1"/>
  <c r="K66" i="1"/>
  <c r="N55" i="1"/>
  <c r="F50" i="1"/>
  <c r="G33" i="1"/>
  <c r="F33" i="1"/>
  <c r="G50" i="1"/>
  <c r="E66" i="1"/>
  <c r="I66" i="1"/>
  <c r="N29" i="1"/>
  <c r="N27" i="1"/>
  <c r="N50" i="1"/>
  <c r="N61" i="1"/>
  <c r="N51" i="1"/>
  <c r="N59" i="1"/>
  <c r="N41" i="1"/>
  <c r="N33" i="1"/>
  <c r="N64" i="1"/>
  <c r="N63" i="1"/>
  <c r="N34" i="1"/>
  <c r="N42" i="1"/>
  <c r="N75" i="1"/>
  <c r="N58" i="1"/>
  <c r="N40" i="1"/>
  <c r="N62" i="1"/>
  <c r="N76" i="1"/>
  <c r="N49" i="1"/>
  <c r="N66" i="1"/>
  <c r="N65" i="1"/>
  <c r="N74" i="1"/>
  <c r="N31" i="1"/>
  <c r="N77" i="1"/>
  <c r="N57" i="1"/>
  <c r="N69" i="1"/>
  <c r="N70" i="1" s="1"/>
  <c r="N38" i="1"/>
  <c r="N54" i="1"/>
  <c r="N43" i="1"/>
  <c r="N73" i="1"/>
  <c r="N72" i="1"/>
  <c r="N46" i="1"/>
  <c r="N56" i="1"/>
  <c r="N45" i="1"/>
  <c r="O73" i="1" l="1"/>
  <c r="P15" i="1"/>
  <c r="O15" i="1"/>
  <c r="U73" i="1"/>
  <c r="L70" i="1"/>
  <c r="L66" i="1"/>
  <c r="L21" i="1"/>
  <c r="L50" i="1"/>
  <c r="L33" i="1"/>
  <c r="J70" i="1"/>
  <c r="U69" i="1"/>
  <c r="P20" i="1"/>
  <c r="U20" i="1"/>
  <c r="O58" i="1"/>
  <c r="U58" i="1"/>
  <c r="P41" i="1"/>
  <c r="U41" i="1"/>
  <c r="O56" i="1"/>
  <c r="U56" i="1"/>
  <c r="O48" i="1"/>
  <c r="U48" i="1"/>
  <c r="O18" i="1"/>
  <c r="U18" i="1"/>
  <c r="O60" i="1"/>
  <c r="U60" i="1"/>
  <c r="O28" i="1"/>
  <c r="U28" i="1"/>
  <c r="O65" i="1"/>
  <c r="U65" i="1"/>
  <c r="O30" i="1"/>
  <c r="U30" i="1"/>
  <c r="P54" i="1"/>
  <c r="U54" i="1"/>
  <c r="O75" i="1"/>
  <c r="U75" i="1"/>
  <c r="O63" i="1"/>
  <c r="U63" i="1"/>
  <c r="O24" i="1"/>
  <c r="U24" i="1"/>
  <c r="P27" i="1"/>
  <c r="U27" i="1"/>
  <c r="O44" i="1"/>
  <c r="U44" i="1"/>
  <c r="O46" i="1"/>
  <c r="U46" i="1"/>
  <c r="O25" i="1"/>
  <c r="U25" i="1"/>
  <c r="O49" i="1"/>
  <c r="U49" i="1"/>
  <c r="O59" i="1"/>
  <c r="U59" i="1"/>
  <c r="P42" i="1"/>
  <c r="U42" i="1"/>
  <c r="O23" i="1"/>
  <c r="U23" i="1"/>
  <c r="O38" i="1"/>
  <c r="U38" i="1"/>
  <c r="O32" i="1"/>
  <c r="U32" i="1"/>
  <c r="P13" i="1"/>
  <c r="U13" i="1"/>
  <c r="O43" i="1"/>
  <c r="U43" i="1"/>
  <c r="P45" i="1"/>
  <c r="U45" i="1"/>
  <c r="P62" i="1"/>
  <c r="U62" i="1"/>
  <c r="O19" i="1"/>
  <c r="U19" i="1"/>
  <c r="P47" i="1"/>
  <c r="U47" i="1"/>
  <c r="P64" i="1"/>
  <c r="U64" i="1"/>
  <c r="O55" i="1"/>
  <c r="U55" i="1"/>
  <c r="O31" i="1"/>
  <c r="U31" i="1"/>
  <c r="O26" i="1"/>
  <c r="U26" i="1"/>
  <c r="O17" i="1"/>
  <c r="U17" i="1"/>
  <c r="P40" i="1"/>
  <c r="U40" i="1"/>
  <c r="O74" i="1"/>
  <c r="U74" i="1"/>
  <c r="P16" i="1"/>
  <c r="U16" i="1"/>
  <c r="P72" i="1"/>
  <c r="U72" i="1"/>
  <c r="O29" i="1"/>
  <c r="U29" i="1"/>
  <c r="O57" i="1"/>
  <c r="U57" i="1"/>
  <c r="O76" i="1"/>
  <c r="U76" i="1"/>
  <c r="P26" i="1"/>
  <c r="P59" i="1"/>
  <c r="P63" i="1"/>
  <c r="P76" i="1"/>
  <c r="P25" i="1"/>
  <c r="P69" i="1"/>
  <c r="O69" i="1"/>
  <c r="P56" i="1"/>
  <c r="P75" i="1"/>
  <c r="P31" i="1"/>
  <c r="O41" i="1"/>
  <c r="P49" i="1"/>
  <c r="P55" i="1"/>
  <c r="O45" i="1"/>
  <c r="P46" i="1"/>
  <c r="P57" i="1"/>
  <c r="E34" i="1"/>
  <c r="E51" i="1" s="1"/>
  <c r="E77" i="1" s="1"/>
  <c r="F34" i="1"/>
  <c r="F51" i="1" s="1"/>
  <c r="F77" i="1" s="1"/>
  <c r="P58" i="1"/>
  <c r="P32" i="1"/>
  <c r="M77" i="1"/>
  <c r="G34" i="1"/>
  <c r="G51" i="1" s="1"/>
  <c r="G77" i="1" s="1"/>
  <c r="I34" i="1"/>
  <c r="I51" i="1" s="1"/>
  <c r="I77" i="1" s="1"/>
  <c r="O42" i="1"/>
  <c r="P65" i="1"/>
  <c r="O20" i="1"/>
  <c r="P74" i="1"/>
  <c r="R56" i="1"/>
  <c r="P43" i="1"/>
  <c r="R59" i="1"/>
  <c r="P29" i="1"/>
  <c r="R54" i="1"/>
  <c r="P44" i="1"/>
  <c r="R63" i="1"/>
  <c r="P38" i="1"/>
  <c r="P19" i="1"/>
  <c r="O54" i="1"/>
  <c r="P24" i="1"/>
  <c r="R58" i="1"/>
  <c r="R55" i="1"/>
  <c r="R64" i="1"/>
  <c r="R62" i="1"/>
  <c r="O72" i="1"/>
  <c r="P30" i="1"/>
  <c r="J66" i="1"/>
  <c r="O16" i="1"/>
  <c r="P28" i="1"/>
  <c r="P60" i="1"/>
  <c r="O27" i="1"/>
  <c r="R60" i="1"/>
  <c r="O13" i="1"/>
  <c r="O64" i="1"/>
  <c r="K34" i="1"/>
  <c r="O40" i="1"/>
  <c r="P17" i="1"/>
  <c r="P23" i="1"/>
  <c r="R57" i="1"/>
  <c r="J33" i="1"/>
  <c r="U33" i="1" s="1"/>
  <c r="R65" i="1"/>
  <c r="O62" i="1"/>
  <c r="P18" i="1"/>
  <c r="P48" i="1"/>
  <c r="O47" i="1"/>
  <c r="O14" i="1"/>
  <c r="P14" i="1"/>
  <c r="J21" i="1"/>
  <c r="U21" i="1" s="1"/>
  <c r="O39" i="1"/>
  <c r="P39" i="1"/>
  <c r="H34" i="1"/>
  <c r="J50" i="1"/>
  <c r="U50" i="1" s="1"/>
  <c r="P37" i="1"/>
  <c r="O37" i="1"/>
  <c r="O61" i="1"/>
  <c r="P61" i="1"/>
  <c r="K51" i="1" l="1"/>
  <c r="L34" i="1"/>
  <c r="P70" i="1"/>
  <c r="O70" i="1"/>
  <c r="U70" i="1"/>
  <c r="P66" i="1"/>
  <c r="U66" i="1"/>
  <c r="O66" i="1"/>
  <c r="R66" i="1"/>
  <c r="P33" i="1"/>
  <c r="O33" i="1"/>
  <c r="P21" i="1"/>
  <c r="O21" i="1"/>
  <c r="J34" i="1"/>
  <c r="U34" i="1" s="1"/>
  <c r="P50" i="1"/>
  <c r="O50" i="1"/>
  <c r="H51" i="1"/>
  <c r="R13" i="1" s="1"/>
  <c r="K77" i="1" l="1"/>
  <c r="L51" i="1"/>
  <c r="R26" i="1"/>
  <c r="R29" i="1"/>
  <c r="H77" i="1"/>
  <c r="S51" i="1" s="1"/>
  <c r="R38" i="1"/>
  <c r="R17" i="1"/>
  <c r="R44" i="1"/>
  <c r="R18" i="1"/>
  <c r="R19" i="1"/>
  <c r="R48" i="1"/>
  <c r="R39" i="1"/>
  <c r="R49" i="1"/>
  <c r="R41" i="1"/>
  <c r="R20" i="1"/>
  <c r="R23" i="1"/>
  <c r="R37" i="1"/>
  <c r="R15" i="1"/>
  <c r="R28" i="1"/>
  <c r="R14" i="1"/>
  <c r="R27" i="1"/>
  <c r="R42" i="1"/>
  <c r="R30" i="1"/>
  <c r="R24" i="1"/>
  <c r="R31" i="1"/>
  <c r="R45" i="1"/>
  <c r="R32" i="1"/>
  <c r="R25" i="1"/>
  <c r="R46" i="1"/>
  <c r="R47" i="1"/>
  <c r="R16" i="1"/>
  <c r="R40" i="1"/>
  <c r="R33" i="1"/>
  <c r="R43" i="1"/>
  <c r="R50" i="1"/>
  <c r="R21" i="1"/>
  <c r="P34" i="1"/>
  <c r="J51" i="1"/>
  <c r="U51" i="1" s="1"/>
  <c r="O34" i="1"/>
  <c r="R34" i="1"/>
  <c r="L77" i="1" l="1"/>
  <c r="R51" i="1"/>
  <c r="S60" i="1"/>
  <c r="S14" i="1"/>
  <c r="S39" i="1"/>
  <c r="S57" i="1"/>
  <c r="S76" i="1"/>
  <c r="S15" i="1"/>
  <c r="S41" i="1"/>
  <c r="S44" i="1"/>
  <c r="S65" i="1"/>
  <c r="S64" i="1"/>
  <c r="S63" i="1"/>
  <c r="S54" i="1"/>
  <c r="S24" i="1"/>
  <c r="S37" i="1"/>
  <c r="S49" i="1"/>
  <c r="S42" i="1"/>
  <c r="S31" i="1"/>
  <c r="S70" i="1"/>
  <c r="S16" i="1"/>
  <c r="S46" i="1"/>
  <c r="S72" i="1"/>
  <c r="S73" i="1"/>
  <c r="S75" i="1"/>
  <c r="S28" i="1"/>
  <c r="S33" i="1"/>
  <c r="S48" i="1"/>
  <c r="S62" i="1"/>
  <c r="S69" i="1"/>
  <c r="S74" i="1"/>
  <c r="S58" i="1"/>
  <c r="S20" i="1"/>
  <c r="S38" i="1"/>
  <c r="S17" i="1"/>
  <c r="S61" i="1"/>
  <c r="S30" i="1"/>
  <c r="S43" i="1"/>
  <c r="S26" i="1"/>
  <c r="S29" i="1"/>
  <c r="S23" i="1"/>
  <c r="S59" i="1"/>
  <c r="S19" i="1"/>
  <c r="S45" i="1"/>
  <c r="S18" i="1"/>
  <c r="S55" i="1"/>
  <c r="S25" i="1"/>
  <c r="S47" i="1"/>
  <c r="S32" i="1"/>
  <c r="S13" i="1"/>
  <c r="S66" i="1"/>
  <c r="S40" i="1"/>
  <c r="S56" i="1"/>
  <c r="S27" i="1"/>
  <c r="K78" i="1"/>
  <c r="S50" i="1"/>
  <c r="S21" i="1"/>
  <c r="M78" i="1"/>
  <c r="S34" i="1"/>
  <c r="O51" i="1"/>
  <c r="P51" i="1"/>
  <c r="J77" i="1"/>
  <c r="U77" i="1" s="1"/>
  <c r="O77" i="1" l="1"/>
  <c r="P77" i="1"/>
  <c r="C22" i="4"/>
  <c r="J22" i="4" l="1"/>
  <c r="N32" i="1" s="1"/>
  <c r="I22" i="4"/>
</calcChain>
</file>

<file path=xl/sharedStrings.xml><?xml version="1.0" encoding="utf-8"?>
<sst xmlns="http://schemas.openxmlformats.org/spreadsheetml/2006/main" count="486" uniqueCount="254">
  <si>
    <t>01_DELIKATESY</t>
  </si>
  <si>
    <t>02_DROGERIA</t>
  </si>
  <si>
    <t>03_PERFUMERIA</t>
  </si>
  <si>
    <t>04_HIGIENA</t>
  </si>
  <si>
    <t>14_OWOCE/WARZYWA/ROSLINY</t>
  </si>
  <si>
    <t>15_PRODUKTY MORZA TRAD.</t>
  </si>
  <si>
    <t>19_MROZONKI</t>
  </si>
  <si>
    <t>20_WEDLINY SAMOOBSLUGA LS</t>
  </si>
  <si>
    <t>21_GARMAZERKA SAMOOBSLUGA LS</t>
  </si>
  <si>
    <t>22_PIECZYWO CUKIERN.SAMOOBS.</t>
  </si>
  <si>
    <t>23_PROD.MORZA SAMOOBSLUGA</t>
  </si>
  <si>
    <t>24_MIESO SAMOOBSLUGA</t>
  </si>
  <si>
    <t>25_PRODUKTY SWIEZE SAMOOBSL.</t>
  </si>
  <si>
    <t>31_PIECZYWO WYPIEK WLASNY</t>
  </si>
  <si>
    <t>32_NABIAL TRAD.</t>
  </si>
  <si>
    <t>33_WEDLINY TRAD.</t>
  </si>
  <si>
    <t>34_CIASTKA/SLOD.TRAD</t>
  </si>
  <si>
    <t>35_CIASTKA/SLOD.SWIEZE</t>
  </si>
  <si>
    <t>36_GARMAZERKA TRAD + GRILL</t>
  </si>
  <si>
    <t>51_MAJSTERKOWANIE/AUTO</t>
  </si>
  <si>
    <t>53_OGROD</t>
  </si>
  <si>
    <t>54_DOM AGD, ELEKTRO AGD</t>
  </si>
  <si>
    <t>55_KULTURA, ROZRYWKA, SEZONY</t>
  </si>
  <si>
    <t>56_TEKSTYLIA</t>
  </si>
  <si>
    <t>57_PRASA</t>
  </si>
  <si>
    <t>60_ARTYKULY DLA SKLEPOW</t>
  </si>
  <si>
    <t>65_CUKIER</t>
  </si>
  <si>
    <t>66_NAPOJE</t>
  </si>
  <si>
    <t>67_SOKI</t>
  </si>
  <si>
    <t>68_WODY MINERALNE</t>
  </si>
  <si>
    <t>69_PIWO</t>
  </si>
  <si>
    <t>70_WINA</t>
  </si>
  <si>
    <t>71_WINA MUSUJĄCE</t>
  </si>
  <si>
    <t>73_ALKOHOLE MOCNE&gt;=18%</t>
  </si>
  <si>
    <t>90_PAKOWANIA ZWROTNE-CONSIGNES</t>
  </si>
  <si>
    <t>46_DROB SAMOOBSLUGA</t>
  </si>
  <si>
    <t>50_WYPOSAZENIE DOMU/DEKORACJE</t>
  </si>
  <si>
    <t>52_MATERIALY BUDOWLANE</t>
  </si>
  <si>
    <t>Razem INTERMARCHE</t>
  </si>
  <si>
    <t>Świeże samoobsługa</t>
  </si>
  <si>
    <t>Artykuły spożywcze</t>
  </si>
  <si>
    <t>Artykuły świeże</t>
  </si>
  <si>
    <t>Świeże tradycyjne</t>
  </si>
  <si>
    <t>RAZEM świeże tradycyjne</t>
  </si>
  <si>
    <t>RAZEM Artykuły świeże</t>
  </si>
  <si>
    <t>RAZEM Świeże samoobsługa</t>
  </si>
  <si>
    <t>Artykuły suche</t>
  </si>
  <si>
    <t>RAZEM Artykuły suche</t>
  </si>
  <si>
    <t>RAZEM Artykuły spożywcze</t>
  </si>
  <si>
    <t>Artykuły przemysłowe</t>
  </si>
  <si>
    <t>RAZEM Artykuły przemysłowe</t>
  </si>
  <si>
    <t>Papierosy</t>
  </si>
  <si>
    <t>RAZEM Papierosy</t>
  </si>
  <si>
    <t>99_śmietnik</t>
  </si>
  <si>
    <t>91_MATERIAŁY PROMOCYJNE</t>
  </si>
  <si>
    <t>40_PALIWA</t>
  </si>
  <si>
    <t>Udział</t>
  </si>
  <si>
    <t>Marża
Budżet</t>
  </si>
  <si>
    <t>Marża
ITM</t>
  </si>
  <si>
    <t>Udział
skl.</t>
  </si>
  <si>
    <t>Ilość
Jm</t>
  </si>
  <si>
    <t>Obrót
netto</t>
  </si>
  <si>
    <t>Obrót
brutto</t>
  </si>
  <si>
    <t>Obrót wg
cen zakupu</t>
  </si>
  <si>
    <t>Wartość
marży</t>
  </si>
  <si>
    <t>Nazwa grupy</t>
  </si>
  <si>
    <t>SUPER</t>
  </si>
  <si>
    <t>marża</t>
  </si>
  <si>
    <t>quota</t>
  </si>
  <si>
    <t>Razem świeże tradycyjne</t>
  </si>
  <si>
    <t>Razem świeże samoobsługa</t>
  </si>
  <si>
    <t>CONTACT</t>
  </si>
  <si>
    <t>SUPER+</t>
  </si>
  <si>
    <t>Rodzaj sklepu:</t>
  </si>
  <si>
    <t>Udział
Budżet</t>
  </si>
  <si>
    <t>WŁASNY</t>
  </si>
  <si>
    <t>Wartość protokołów</t>
  </si>
  <si>
    <t>Podsumowanie sprzedaży wg grup z uwzględnieniem protokołów likwidacji i RW</t>
  </si>
  <si>
    <t>Wartość
RW</t>
  </si>
  <si>
    <t>Marża po PL/RW</t>
  </si>
  <si>
    <t>58_BILETY,DOŁAD.,KARTY TEL.</t>
  </si>
  <si>
    <t>72_WERMUTY I WINA DESEROWE</t>
  </si>
  <si>
    <t>63_AUTO,NARZ,ELEKTRYKA,MAT BUD</t>
  </si>
  <si>
    <t>64_OGRÓD, ZWIERZĘTA, HOBBY</t>
  </si>
  <si>
    <t>26_MIESO BAZA</t>
  </si>
  <si>
    <t>27_PROD.WEDZ.BAZA</t>
  </si>
  <si>
    <t>&lt;-- wybierz</t>
  </si>
  <si>
    <t xml:space="preserve">61_ART.KOSZTOWE DLA SKLEPU    </t>
  </si>
  <si>
    <t>14 owoce warzywa rośliny</t>
  </si>
  <si>
    <t>15 produkty morza tradycja</t>
  </si>
  <si>
    <t>29 drób tradycja</t>
  </si>
  <si>
    <t>30 mięso tradycja</t>
  </si>
  <si>
    <t>31 pieczywo wypiek własny</t>
  </si>
  <si>
    <t>32 nabiał tradycja</t>
  </si>
  <si>
    <t>33 wędliny  trad.</t>
  </si>
  <si>
    <t>34 ciastka słodycze tradycja</t>
  </si>
  <si>
    <t>35 ciastka słodycze. świeże</t>
  </si>
  <si>
    <t>36 garmażerka tradycja + grill</t>
  </si>
  <si>
    <t>SUMA ŚWIEŻE TRAD</t>
  </si>
  <si>
    <t>19 mrożonki</t>
  </si>
  <si>
    <t>20 wędliny samoobsługa LS</t>
  </si>
  <si>
    <t>21 Garmażerka samoobsługa LS</t>
  </si>
  <si>
    <t>22 pieczywo cukiern. samoobsługa</t>
  </si>
  <si>
    <t>23 prod. Morza samoobsługa</t>
  </si>
  <si>
    <t>24 mięso samoobsługa</t>
  </si>
  <si>
    <t>25 produkty świeże samoob.</t>
  </si>
  <si>
    <t>26_mięso baza</t>
  </si>
  <si>
    <t>27_produkty wędzarnicze baza</t>
  </si>
  <si>
    <t>46 drób</t>
  </si>
  <si>
    <t>SUMA ŚWIEŻE LS</t>
  </si>
  <si>
    <t>1 delikatesy ciastka</t>
  </si>
  <si>
    <t>2 drogeria</t>
  </si>
  <si>
    <t>3 perfumeria</t>
  </si>
  <si>
    <t>4 higiena</t>
  </si>
  <si>
    <t>65 cukier</t>
  </si>
  <si>
    <t>66 napoje</t>
  </si>
  <si>
    <t>67 soki</t>
  </si>
  <si>
    <t>68 wody mineralne</t>
  </si>
  <si>
    <t>69 piwo</t>
  </si>
  <si>
    <t>70 wina</t>
  </si>
  <si>
    <t>71 wina musujące</t>
  </si>
  <si>
    <t>72 wermouthy i wina deserowe</t>
  </si>
  <si>
    <t>73 alkohole mocne &gt;= 18%</t>
  </si>
  <si>
    <t>50 dekoracje i dom</t>
  </si>
  <si>
    <t>51 majsterkowanie auto</t>
  </si>
  <si>
    <t>52 materiały budowlane</t>
  </si>
  <si>
    <t>53 ogród</t>
  </si>
  <si>
    <t>54 kultura i rozrywka</t>
  </si>
  <si>
    <t>55 tekstylia</t>
  </si>
  <si>
    <t>56 obuwie</t>
  </si>
  <si>
    <t>57 prasa</t>
  </si>
  <si>
    <t>60_artykuly dla sklepow</t>
  </si>
  <si>
    <t>63_auto, narz, elektryka, mat bud</t>
  </si>
  <si>
    <t>64_ogród, zwierzęta, hobby</t>
  </si>
  <si>
    <t>39_PAPIEROSY,WYROBY TYTONIOWE</t>
  </si>
  <si>
    <t>40_płyny do spryskiwaczy</t>
  </si>
  <si>
    <t>58_bilety,doład,karty tel.</t>
  </si>
  <si>
    <t>dTOTALINNE</t>
  </si>
  <si>
    <t>rok 2021</t>
  </si>
  <si>
    <t>Grupa</t>
  </si>
  <si>
    <t>14</t>
  </si>
  <si>
    <t>15</t>
  </si>
  <si>
    <t>29</t>
  </si>
  <si>
    <t>30</t>
  </si>
  <si>
    <t>31</t>
  </si>
  <si>
    <t>32</t>
  </si>
  <si>
    <t>33</t>
  </si>
  <si>
    <t>34</t>
  </si>
  <si>
    <t>35</t>
  </si>
  <si>
    <t>36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</si>
  <si>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</si>
  <si>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</si>
  <si>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</si>
  <si>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</si>
  <si>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</si>
  <si>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</si>
  <si>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</si>
  <si>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</si>
  <si>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</si>
  <si>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46</t>
  </si>
  <si>
    <t/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</si>
  <si>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</si>
  <si>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</si>
  <si>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</si>
  <si>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</si>
  <si>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</si>
  <si>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</si>
  <si>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</si>
  <si>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</si>
  <si>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</si>
  <si>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50</t>
  </si>
  <si>
    <t>51</t>
  </si>
  <si>
    <t>52</t>
  </si>
  <si>
    <t>53</t>
  </si>
  <si>
    <t>54</t>
  </si>
  <si>
    <t>55</t>
  </si>
  <si>
    <t>56</t>
  </si>
  <si>
    <t>57</t>
  </si>
  <si>
    <t>60</t>
  </si>
  <si>
    <t>63</t>
  </si>
  <si>
    <t>64</t>
  </si>
  <si>
    <t>39</t>
  </si>
  <si>
    <t>40</t>
  </si>
  <si>
    <t>58</t>
  </si>
  <si>
    <t>Ra</t>
  </si>
  <si>
    <t>RA</t>
  </si>
  <si>
    <t>01</t>
  </si>
  <si>
    <t>02</t>
  </si>
  <si>
    <t>03</t>
  </si>
  <si>
    <t>04</t>
  </si>
  <si>
    <t>91</t>
  </si>
  <si>
    <t>99</t>
  </si>
  <si>
    <t>90</t>
  </si>
  <si>
    <t>61</t>
  </si>
  <si>
    <t>39_PAPIEROSY I PARAFARMACJA</t>
  </si>
  <si>
    <t>Wart. Marży po likwidacjach</t>
  </si>
  <si>
    <t>% STRATA</t>
  </si>
  <si>
    <t>Kryteria wyboru:</t>
  </si>
  <si>
    <t>Nomenklatura</t>
  </si>
  <si>
    <t>Nazwa nomenklatury</t>
  </si>
  <si>
    <t>Śr. teoretyczna Marża</t>
  </si>
  <si>
    <t>Ilość</t>
  </si>
  <si>
    <t>Wartosc FIFO</t>
  </si>
  <si>
    <t>Wartość ceny sprzedaży</t>
  </si>
  <si>
    <t>Wartość VAT</t>
  </si>
  <si>
    <t>Wart.Marza FIFO</t>
  </si>
  <si>
    <t>% Marża</t>
  </si>
  <si>
    <t xml:space="preserve">01_DELIKATESY                 </t>
  </si>
  <si>
    <t xml:space="preserve">02_DROGERIA                   </t>
  </si>
  <si>
    <t xml:space="preserve">14_OWOCE/WARZYWA/ROSLINY      </t>
  </si>
  <si>
    <t xml:space="preserve">15_PRODUKTY MORZA TRAD.       </t>
  </si>
  <si>
    <t xml:space="preserve">19_MROZONKI                   </t>
  </si>
  <si>
    <t xml:space="preserve">20_WEDLINY SAMOOBSLUGA LS     </t>
  </si>
  <si>
    <t xml:space="preserve">21_GARMAZERKA SAMOOBSLUGA LS  </t>
  </si>
  <si>
    <t xml:space="preserve">22_PIECZYWO CUKIERN.SAMOOBS.  </t>
  </si>
  <si>
    <t xml:space="preserve">23_PROD.MORZA SAMOOBSLUGA     </t>
  </si>
  <si>
    <t xml:space="preserve">24_MIESO SAMOOBSLUGA          </t>
  </si>
  <si>
    <t xml:space="preserve">25_PRODUKTY SWIEZE SAMOOBSL.  </t>
  </si>
  <si>
    <t xml:space="preserve">26_MIESO BAZA                 </t>
  </si>
  <si>
    <t xml:space="preserve">31_PIECZYWO WYPIEK WLASNY     </t>
  </si>
  <si>
    <t xml:space="preserve">32_NABIAL TRAD.               </t>
  </si>
  <si>
    <t xml:space="preserve">33_WEDLINY TRAD.              </t>
  </si>
  <si>
    <t xml:space="preserve">36_GARMAZERKA TRAD + GRILL    </t>
  </si>
  <si>
    <t xml:space="preserve">46_DROB SAMOOBSLUGA           </t>
  </si>
  <si>
    <t xml:space="preserve">54_DOM AGD, ELEKTRO AGD       </t>
  </si>
  <si>
    <t xml:space="preserve">55_KULTURA, ROZRYWKA, SEZONY  </t>
  </si>
  <si>
    <t xml:space="preserve">66_NAPOJE                     </t>
  </si>
  <si>
    <t xml:space="preserve">67_SOKI                       </t>
  </si>
  <si>
    <t xml:space="preserve">68_WODY MINERALNE             </t>
  </si>
  <si>
    <t xml:space="preserve">69_PIWO                       </t>
  </si>
  <si>
    <t xml:space="preserve">04_HIGIENA                    </t>
  </si>
  <si>
    <t xml:space="preserve">34_CIASTKA/SLOD.TRAD          </t>
  </si>
  <si>
    <t xml:space="preserve">35_CIASTKA/SLOD.SWIEZE        </t>
  </si>
  <si>
    <t xml:space="preserve">39_PAPIEROSY I PARAFARMACJA   </t>
  </si>
  <si>
    <t xml:space="preserve">57_PRASA                      </t>
  </si>
  <si>
    <t xml:space="preserve">65_CUKIER                     </t>
  </si>
  <si>
    <t xml:space="preserve">70_WINA                       </t>
  </si>
  <si>
    <t xml:space="preserve">71_WINA MUSUJĄCE              </t>
  </si>
  <si>
    <t xml:space="preserve">72_WERMUTY I WINA DESEROWE    </t>
  </si>
  <si>
    <t xml:space="preserve">73_ALKOHOLE MOCNE&gt;=18%        </t>
  </si>
  <si>
    <t xml:space="preserve">91_MATERIAŁY PROMOCYJNE       </t>
  </si>
  <si>
    <t xml:space="preserve">03_PERFUMERIA                 </t>
  </si>
  <si>
    <t xml:space="preserve">53_OGROD                      </t>
  </si>
  <si>
    <t xml:space="preserve">56_TEKSTYLIA                  </t>
  </si>
  <si>
    <t xml:space="preserve">60_ARTYKULY DLA SKLEPOW       </t>
  </si>
  <si>
    <t xml:space="preserve">64_OGRÓD, ZWIERZĘTA, HOBBY    </t>
  </si>
  <si>
    <t>Zestawienie : Wejścia/Wyjścia: Poziom szczegółu: wg.nomenklatury, Szczegóły Zakres: nie szczegółowe, Ruch: Likwidacja, Typ wyceny: FIFO</t>
  </si>
  <si>
    <t>Zestawienie : Wejścia/Wyjścia: Poziom szczegółu: wg.nomenklatury, Szczegóły Zakres: nie szczegółowe, Ruch: Sprzedaż po rabacie, Typ wyceny: FIFO</t>
  </si>
  <si>
    <t>PDV: 10023 - TRYTOMA  Sp. z o.o.                    Data: 28/09/2026   Godzina: 07:57:38</t>
  </si>
  <si>
    <t>Wybór Danych:  Od 21/09/2026 do 27/09/2026</t>
  </si>
  <si>
    <t xml:space="preserve">50_WYPOSAZENIE DOMU/DEKORACJE </t>
  </si>
  <si>
    <t>Ilość linii:42</t>
  </si>
  <si>
    <t>PDV: 10023 - TRYTOMA  Sp. z o.o.                    Data: 28/09/2026   Godzina: 07:58:19</t>
  </si>
  <si>
    <t>Ilość linii:23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</si>
</sst>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0"/>
    <numFmt numFmtId="165" formatCode="0.0%"/>
    <numFmt numFmtId="166" formatCode="###,###,"/>
    <numFmt numFmtId="167" formatCode="#,##0_ ;\-#,##0\ "/>
  </numFmts>
  <fonts count="61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1"/>
      <color indexed="8"/>
      <name val="Czcionka tekstu podstawowego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0"/>
      <color indexed="8"/>
      <name val="Czcionka tekstu podstawowego"/>
      <charset val="238"/>
    </font>
    <font>
      <sz val="10"/>
      <name val="Arial"/>
      <family val="2"/>
      <charset val="238"/>
    </font>
    <font>
      <b/>
      <sz val="14"/>
      <name val="Arial"/>
      <family val="2"/>
      <charset val="238"/>
    </font>
    <font>
      <sz val="10"/>
      <name val="Arial"/>
      <family val="2"/>
      <charset val="238"/>
    </font>
    <font>
      <sz val="11"/>
      <color theme="1"/>
      <name val="Czcionka tekstu podstawowego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color theme="1"/>
      <name val="Czcionka tekstu podstawowego"/>
      <charset val="238"/>
    </font>
    <font>
      <b/>
      <sz val="11"/>
      <color theme="1"/>
      <name val="Calibri"/>
      <family val="2"/>
      <charset val="238"/>
      <scheme val="minor"/>
    </font>
    <font>
      <sz val="10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Czcionka tekstu podstawowego"/>
      <family val="2"/>
      <charset val="238"/>
    </font>
    <font>
      <sz val="11"/>
      <name val="Czcionka tekstu podstawowego"/>
      <family val="2"/>
      <charset val="238"/>
    </font>
    <font>
      <b/>
      <sz val="11"/>
      <color rgb="FFFF0000"/>
      <name val="Czcionka tekstu podstawowego"/>
      <charset val="238"/>
    </font>
    <font>
      <b/>
      <sz val="10"/>
      <color rgb="FFFF0000"/>
      <name val="Arial"/>
      <family val="2"/>
      <charset val="238"/>
    </font>
    <font>
      <b/>
      <sz val="11"/>
      <name val="Arial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9">
    <xf numFmtId="0" fontId="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1" fillId="0" borderId="0"/>
    <xf numFmtId="9" fontId="41" fillId="0" borderId="0" applyFont="0" applyFill="0" applyBorder="0" applyAlignment="0" applyProtection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0">
    <xf numFmtId="0" fontId="0" fillId="0" borderId="0" xfId="0"/>
    <xf numFmtId="0" fontId="43" fillId="0" borderId="0" xfId="0" applyFont="1"/>
    <xf numFmtId="0" fontId="47" fillId="2" borderId="0" xfId="0" applyFont="1" applyFill="1"/>
    <xf numFmtId="164" fontId="47" fillId="2" borderId="0" xfId="0" applyNumberFormat="1" applyFont="1" applyFill="1"/>
    <xf numFmtId="4" fontId="47" fillId="2" borderId="0" xfId="0" applyNumberFormat="1" applyFont="1" applyFill="1"/>
    <xf numFmtId="4" fontId="47" fillId="2" borderId="0" xfId="0" applyNumberFormat="1" applyFont="1" applyFill="1" applyAlignment="1">
      <alignment horizontal="right"/>
    </xf>
    <xf numFmtId="0" fontId="48" fillId="2" borderId="0" xfId="0" applyFont="1" applyFill="1" applyAlignment="1">
      <alignment horizontal="center"/>
    </xf>
    <xf numFmtId="164" fontId="47" fillId="2" borderId="1" xfId="0" applyNumberFormat="1" applyFont="1" applyFill="1" applyBorder="1" applyAlignment="1">
      <alignment horizontal="center" vertical="center" wrapText="1"/>
    </xf>
    <xf numFmtId="4" fontId="47" fillId="2" borderId="1" xfId="0" applyNumberFormat="1" applyFont="1" applyFill="1" applyBorder="1" applyAlignment="1">
      <alignment horizontal="center" vertical="center" wrapText="1"/>
    </xf>
    <xf numFmtId="4" fontId="44" fillId="2" borderId="1" xfId="0" applyNumberFormat="1" applyFont="1" applyFill="1" applyBorder="1" applyAlignment="1">
      <alignment horizontal="center" vertical="center" wrapText="1"/>
    </xf>
    <xf numFmtId="4" fontId="47" fillId="2" borderId="2" xfId="0" applyNumberFormat="1" applyFont="1" applyFill="1" applyBorder="1" applyAlignment="1">
      <alignment horizontal="center" vertical="center"/>
    </xf>
    <xf numFmtId="4" fontId="47" fillId="2" borderId="3" xfId="0" applyNumberFormat="1" applyFont="1" applyFill="1" applyBorder="1" applyAlignment="1">
      <alignment horizontal="center" vertical="center" wrapText="1"/>
    </xf>
    <xf numFmtId="0" fontId="47" fillId="2" borderId="0" xfId="0" applyFont="1" applyFill="1" applyAlignment="1">
      <alignment horizontal="center" vertical="center"/>
    </xf>
    <xf numFmtId="0" fontId="44" fillId="2" borderId="0" xfId="0" applyFont="1" applyFill="1"/>
    <xf numFmtId="0" fontId="45" fillId="2" borderId="0" xfId="0" applyFont="1" applyFill="1"/>
    <xf numFmtId="164" fontId="45" fillId="2" borderId="0" xfId="0" applyNumberFormat="1" applyFont="1" applyFill="1"/>
    <xf numFmtId="4" fontId="45" fillId="2" borderId="0" xfId="0" applyNumberFormat="1" applyFont="1" applyFill="1"/>
    <xf numFmtId="4" fontId="44" fillId="2" borderId="0" xfId="0" applyNumberFormat="1" applyFont="1" applyFill="1" applyBorder="1"/>
    <xf numFmtId="4" fontId="45" fillId="2" borderId="4" xfId="0" applyNumberFormat="1" applyFont="1" applyFill="1" applyBorder="1"/>
    <xf numFmtId="0" fontId="45" fillId="2" borderId="5" xfId="0" applyFont="1" applyFill="1" applyBorder="1"/>
    <xf numFmtId="4" fontId="45" fillId="2" borderId="5" xfId="0" applyNumberFormat="1" applyFont="1" applyFill="1" applyBorder="1"/>
    <xf numFmtId="4" fontId="45" fillId="2" borderId="6" xfId="0" applyNumberFormat="1" applyFont="1" applyFill="1" applyBorder="1"/>
    <xf numFmtId="4" fontId="45" fillId="2" borderId="7" xfId="0" applyNumberFormat="1" applyFont="1" applyFill="1" applyBorder="1"/>
    <xf numFmtId="0" fontId="46" fillId="2" borderId="0" xfId="0" applyFont="1" applyFill="1"/>
    <xf numFmtId="164" fontId="44" fillId="2" borderId="0" xfId="0" applyNumberFormat="1" applyFont="1" applyFill="1"/>
    <xf numFmtId="4" fontId="44" fillId="2" borderId="0" xfId="0" applyNumberFormat="1" applyFont="1" applyFill="1"/>
    <xf numFmtId="4" fontId="47" fillId="2" borderId="4" xfId="0" applyNumberFormat="1" applyFont="1" applyFill="1" applyBorder="1"/>
    <xf numFmtId="0" fontId="47" fillId="2" borderId="5" xfId="0" applyFont="1" applyFill="1" applyBorder="1"/>
    <xf numFmtId="0" fontId="47" fillId="2" borderId="8" xfId="0" applyFont="1" applyFill="1" applyBorder="1"/>
    <xf numFmtId="0" fontId="46" fillId="2" borderId="8" xfId="0" applyFont="1" applyFill="1" applyBorder="1"/>
    <xf numFmtId="164" fontId="44" fillId="2" borderId="8" xfId="0" applyNumberFormat="1" applyFont="1" applyFill="1" applyBorder="1"/>
    <xf numFmtId="4" fontId="44" fillId="2" borderId="8" xfId="0" applyNumberFormat="1" applyFont="1" applyFill="1" applyBorder="1"/>
    <xf numFmtId="49" fontId="0" fillId="2" borderId="0" xfId="0" applyNumberFormat="1" applyFill="1"/>
    <xf numFmtId="164" fontId="44" fillId="2" borderId="0" xfId="0" applyNumberFormat="1" applyFont="1" applyFill="1" applyAlignment="1">
      <alignment shrinkToFit="1"/>
    </xf>
    <xf numFmtId="4" fontId="44" fillId="2" borderId="0" xfId="0" applyNumberFormat="1" applyFont="1" applyFill="1" applyAlignment="1">
      <alignment shrinkToFit="1"/>
    </xf>
    <xf numFmtId="4" fontId="44" fillId="2" borderId="0" xfId="0" applyNumberFormat="1" applyFont="1" applyFill="1" applyBorder="1" applyAlignment="1">
      <alignment shrinkToFit="1"/>
    </xf>
    <xf numFmtId="4" fontId="45" fillId="2" borderId="0" xfId="0" applyNumberFormat="1" applyFont="1" applyFill="1" applyAlignment="1">
      <alignment shrinkToFit="1"/>
    </xf>
    <xf numFmtId="0" fontId="45" fillId="2" borderId="0" xfId="0" applyFont="1" applyFill="1" applyAlignment="1">
      <alignment shrinkToFit="1"/>
    </xf>
    <xf numFmtId="0" fontId="49" fillId="0" borderId="0" xfId="0" applyFont="1"/>
    <xf numFmtId="0" fontId="0" fillId="0" borderId="1" xfId="0" applyBorder="1" applyAlignment="1">
      <alignment vertical="center"/>
    </xf>
    <xf numFmtId="10" fontId="0" fillId="0" borderId="0" xfId="8" applyNumberFormat="1" applyFont="1"/>
    <xf numFmtId="0" fontId="0" fillId="0" borderId="9" xfId="0" applyBorder="1" applyAlignment="1">
      <alignment vertical="center"/>
    </xf>
    <xf numFmtId="0" fontId="44" fillId="0" borderId="10" xfId="0" applyFont="1" applyBorder="1" applyAlignment="1">
      <alignment vertical="center"/>
    </xf>
    <xf numFmtId="10" fontId="0" fillId="0" borderId="0" xfId="0" applyNumberFormat="1"/>
    <xf numFmtId="0" fontId="0" fillId="0" borderId="11" xfId="0" applyBorder="1" applyAlignment="1">
      <alignment vertical="center"/>
    </xf>
    <xf numFmtId="0" fontId="49" fillId="0" borderId="11" xfId="0" applyFont="1" applyBorder="1" applyAlignment="1">
      <alignment vertical="center"/>
    </xf>
    <xf numFmtId="0" fontId="49" fillId="0" borderId="1" xfId="0" applyFont="1" applyBorder="1" applyAlignment="1">
      <alignment vertical="center"/>
    </xf>
    <xf numFmtId="0" fontId="49" fillId="0" borderId="9" xfId="0" applyFont="1" applyBorder="1" applyAlignment="1">
      <alignment vertical="center"/>
    </xf>
    <xf numFmtId="0" fontId="0" fillId="0" borderId="12" xfId="0" applyBorder="1" applyAlignment="1">
      <alignment vertical="center"/>
    </xf>
    <xf numFmtId="4" fontId="47" fillId="2" borderId="2" xfId="0" applyNumberFormat="1" applyFont="1" applyFill="1" applyBorder="1" applyAlignment="1">
      <alignment horizontal="center" vertical="center" wrapText="1"/>
    </xf>
    <xf numFmtId="4" fontId="45" fillId="2" borderId="13" xfId="0" applyNumberFormat="1" applyFont="1" applyFill="1" applyBorder="1"/>
    <xf numFmtId="4" fontId="45" fillId="2" borderId="14" xfId="0" applyNumberFormat="1" applyFont="1" applyFill="1" applyBorder="1"/>
    <xf numFmtId="4" fontId="47" fillId="2" borderId="13" xfId="0" applyNumberFormat="1" applyFont="1" applyFill="1" applyBorder="1"/>
    <xf numFmtId="4" fontId="45" fillId="2" borderId="15" xfId="0" applyNumberFormat="1" applyFont="1" applyFill="1" applyBorder="1"/>
    <xf numFmtId="4" fontId="47" fillId="2" borderId="16" xfId="0" applyNumberFormat="1" applyFont="1" applyFill="1" applyBorder="1" applyAlignment="1">
      <alignment horizontal="center" vertical="center" wrapText="1"/>
    </xf>
    <xf numFmtId="4" fontId="45" fillId="2" borderId="17" xfId="0" applyNumberFormat="1" applyFont="1" applyFill="1" applyBorder="1"/>
    <xf numFmtId="4" fontId="45" fillId="2" borderId="18" xfId="0" applyNumberFormat="1" applyFont="1" applyFill="1" applyBorder="1"/>
    <xf numFmtId="4" fontId="44" fillId="2" borderId="13" xfId="0" applyNumberFormat="1" applyFont="1" applyFill="1" applyBorder="1"/>
    <xf numFmtId="164" fontId="45" fillId="2" borderId="5" xfId="0" applyNumberFormat="1" applyFont="1" applyFill="1" applyBorder="1"/>
    <xf numFmtId="4" fontId="44" fillId="2" borderId="5" xfId="0" applyNumberFormat="1" applyFont="1" applyFill="1" applyBorder="1"/>
    <xf numFmtId="4" fontId="45" fillId="2" borderId="19" xfId="0" applyNumberFormat="1" applyFont="1" applyFill="1" applyBorder="1"/>
    <xf numFmtId="4" fontId="45" fillId="2" borderId="20" xfId="0" applyNumberFormat="1" applyFont="1" applyFill="1" applyBorder="1"/>
    <xf numFmtId="4" fontId="45" fillId="2" borderId="20" xfId="0" applyNumberFormat="1" applyFont="1" applyFill="1" applyBorder="1" applyAlignment="1">
      <alignment shrinkToFit="1"/>
    </xf>
    <xf numFmtId="49" fontId="0" fillId="0" borderId="0" xfId="0" applyNumberFormat="1"/>
    <xf numFmtId="0" fontId="50" fillId="0" borderId="0" xfId="4"/>
    <xf numFmtId="0" fontId="52" fillId="0" borderId="0" xfId="4" applyFont="1"/>
    <xf numFmtId="49" fontId="50" fillId="0" borderId="0" xfId="4" applyNumberFormat="1"/>
    <xf numFmtId="4" fontId="42" fillId="2" borderId="2" xfId="0" applyNumberFormat="1" applyFont="1" applyFill="1" applyBorder="1" applyAlignment="1">
      <alignment horizontal="center" vertical="center" wrapText="1"/>
    </xf>
    <xf numFmtId="4" fontId="45" fillId="2" borderId="21" xfId="0" applyNumberFormat="1" applyFont="1" applyFill="1" applyBorder="1"/>
    <xf numFmtId="4" fontId="45" fillId="2" borderId="22" xfId="0" applyNumberFormat="1" applyFont="1" applyFill="1" applyBorder="1"/>
    <xf numFmtId="4" fontId="44" fillId="2" borderId="21" xfId="0" applyNumberFormat="1" applyFont="1" applyFill="1" applyBorder="1"/>
    <xf numFmtId="4" fontId="47" fillId="2" borderId="21" xfId="0" applyNumberFormat="1" applyFont="1" applyFill="1" applyBorder="1"/>
    <xf numFmtId="4" fontId="44" fillId="2" borderId="3" xfId="0" applyNumberFormat="1" applyFont="1" applyFill="1" applyBorder="1"/>
    <xf numFmtId="4" fontId="45" fillId="2" borderId="23" xfId="0" applyNumberFormat="1" applyFont="1" applyFill="1" applyBorder="1"/>
    <xf numFmtId="4" fontId="45" fillId="2" borderId="11" xfId="0" applyNumberFormat="1" applyFont="1" applyFill="1" applyBorder="1"/>
    <xf numFmtId="4" fontId="45" fillId="2" borderId="24" xfId="0" applyNumberFormat="1" applyFont="1" applyFill="1" applyBorder="1"/>
    <xf numFmtId="0" fontId="50" fillId="0" borderId="0" xfId="5"/>
    <xf numFmtId="0" fontId="52" fillId="0" borderId="0" xfId="5" applyFont="1"/>
    <xf numFmtId="0" fontId="52" fillId="0" borderId="0" xfId="5" applyFont="1" applyAlignment="1">
      <alignment wrapText="1"/>
    </xf>
    <xf numFmtId="49" fontId="50" fillId="0" borderId="0" xfId="5" applyNumberFormat="1"/>
    <xf numFmtId="10" fontId="44" fillId="2" borderId="0" xfId="8" applyNumberFormat="1" applyFont="1" applyFill="1" applyAlignment="1">
      <alignment horizontal="right"/>
    </xf>
    <xf numFmtId="0" fontId="41" fillId="2" borderId="0" xfId="0" applyFont="1" applyFill="1"/>
    <xf numFmtId="0" fontId="41" fillId="0" borderId="9" xfId="0" applyFont="1" applyBorder="1" applyAlignment="1">
      <alignment vertical="center"/>
    </xf>
    <xf numFmtId="0" fontId="41" fillId="2" borderId="5" xfId="0" applyFont="1" applyFill="1" applyBorder="1"/>
    <xf numFmtId="0" fontId="47" fillId="2" borderId="0" xfId="0" applyFont="1" applyFill="1" applyBorder="1"/>
    <xf numFmtId="164" fontId="45" fillId="2" borderId="0" xfId="0" applyNumberFormat="1" applyFont="1" applyFill="1" applyBorder="1"/>
    <xf numFmtId="4" fontId="45" fillId="2" borderId="0" xfId="0" applyNumberFormat="1" applyFont="1" applyFill="1" applyBorder="1"/>
    <xf numFmtId="0" fontId="44" fillId="2" borderId="25" xfId="0" applyFont="1" applyFill="1" applyBorder="1"/>
    <xf numFmtId="0" fontId="47" fillId="2" borderId="25" xfId="0" applyFont="1" applyFill="1" applyBorder="1"/>
    <xf numFmtId="164" fontId="44" fillId="2" borderId="25" xfId="0" applyNumberFormat="1" applyFont="1" applyFill="1" applyBorder="1"/>
    <xf numFmtId="4" fontId="44" fillId="2" borderId="25" xfId="0" applyNumberFormat="1" applyFont="1" applyFill="1" applyBorder="1"/>
    <xf numFmtId="4" fontId="45" fillId="2" borderId="26" xfId="0" applyNumberFormat="1" applyFont="1" applyFill="1" applyBorder="1"/>
    <xf numFmtId="4" fontId="45" fillId="2" borderId="27" xfId="0" applyNumberFormat="1" applyFont="1" applyFill="1" applyBorder="1"/>
    <xf numFmtId="4" fontId="45" fillId="2" borderId="28" xfId="0" applyNumberFormat="1" applyFont="1" applyFill="1" applyBorder="1"/>
    <xf numFmtId="0" fontId="41" fillId="2" borderId="0" xfId="0" applyFont="1" applyFill="1" applyBorder="1"/>
    <xf numFmtId="0" fontId="53" fillId="0" borderId="0" xfId="0" applyFont="1"/>
    <xf numFmtId="0" fontId="53" fillId="0" borderId="0" xfId="0" applyFont="1" applyAlignment="1">
      <alignment wrapText="1"/>
    </xf>
    <xf numFmtId="0" fontId="41" fillId="0" borderId="0" xfId="0" applyFont="1"/>
    <xf numFmtId="10" fontId="0" fillId="3" borderId="0" xfId="0" applyNumberFormat="1" applyFill="1" applyProtection="1">
      <protection locked="0"/>
    </xf>
    <xf numFmtId="10" fontId="0" fillId="3" borderId="0" xfId="8" applyNumberFormat="1" applyFont="1" applyFill="1" applyBorder="1" applyProtection="1">
      <protection locked="0"/>
    </xf>
    <xf numFmtId="165" fontId="0" fillId="0" borderId="0" xfId="8" applyNumberFormat="1" applyFont="1"/>
    <xf numFmtId="4" fontId="47" fillId="3" borderId="0" xfId="0" applyNumberFormat="1" applyFont="1" applyFill="1" applyProtection="1">
      <protection locked="0"/>
    </xf>
    <xf numFmtId="4" fontId="41" fillId="2" borderId="0" xfId="0" applyNumberFormat="1" applyFont="1" applyFill="1"/>
    <xf numFmtId="10" fontId="54" fillId="0" borderId="0" xfId="8" applyNumberFormat="1" applyFont="1"/>
    <xf numFmtId="0" fontId="54" fillId="0" borderId="0" xfId="0" applyFont="1"/>
    <xf numFmtId="49" fontId="41" fillId="0" borderId="0" xfId="0" applyNumberFormat="1" applyFont="1"/>
    <xf numFmtId="0" fontId="0" fillId="0" borderId="29" xfId="0" applyBorder="1"/>
    <xf numFmtId="0" fontId="52" fillId="4" borderId="29" xfId="0" applyFont="1" applyFill="1" applyBorder="1"/>
    <xf numFmtId="0" fontId="0" fillId="0" borderId="29" xfId="0" applyFill="1" applyBorder="1"/>
    <xf numFmtId="166" fontId="0" fillId="0" borderId="0" xfId="0" applyNumberFormat="1" applyFont="1" applyBorder="1"/>
    <xf numFmtId="166" fontId="55" fillId="0" borderId="0" xfId="0" applyNumberFormat="1" applyFont="1" applyBorder="1"/>
    <xf numFmtId="0" fontId="0" fillId="0" borderId="30" xfId="0" applyBorder="1" applyAlignment="1"/>
    <xf numFmtId="10" fontId="0" fillId="0" borderId="18" xfId="8" applyNumberFormat="1" applyFont="1" applyBorder="1"/>
    <xf numFmtId="10" fontId="0" fillId="5" borderId="18" xfId="8" applyNumberFormat="1" applyFont="1" applyFill="1" applyBorder="1"/>
    <xf numFmtId="10" fontId="52" fillId="6" borderId="18" xfId="8" applyNumberFormat="1" applyFont="1" applyFill="1" applyBorder="1"/>
    <xf numFmtId="10" fontId="52" fillId="0" borderId="18" xfId="8" applyNumberFormat="1" applyFont="1" applyBorder="1"/>
    <xf numFmtId="10" fontId="56" fillId="0" borderId="17" xfId="8" applyNumberFormat="1" applyFont="1" applyBorder="1"/>
    <xf numFmtId="10" fontId="0" fillId="0" borderId="17" xfId="8" applyNumberFormat="1" applyFont="1" applyBorder="1"/>
    <xf numFmtId="10" fontId="0" fillId="7" borderId="18" xfId="8" applyNumberFormat="1" applyFont="1" applyFill="1" applyBorder="1"/>
    <xf numFmtId="10" fontId="57" fillId="0" borderId="17" xfId="8" applyNumberFormat="1" applyFont="1" applyBorder="1"/>
    <xf numFmtId="10" fontId="52" fillId="8" borderId="18" xfId="8" applyNumberFormat="1" applyFont="1" applyFill="1" applyBorder="1"/>
    <xf numFmtId="10" fontId="56" fillId="8" borderId="17" xfId="8" applyNumberFormat="1" applyFont="1" applyFill="1" applyBorder="1"/>
    <xf numFmtId="10" fontId="58" fillId="0" borderId="17" xfId="8" applyNumberFormat="1" applyFont="1" applyBorder="1"/>
    <xf numFmtId="10" fontId="0" fillId="3" borderId="18" xfId="8" applyNumberFormat="1" applyFont="1" applyFill="1" applyBorder="1"/>
    <xf numFmtId="10" fontId="52" fillId="3" borderId="18" xfId="8" applyNumberFormat="1" applyFont="1" applyFill="1" applyBorder="1"/>
    <xf numFmtId="10" fontId="56" fillId="3" borderId="17" xfId="8" applyNumberFormat="1" applyFont="1" applyFill="1" applyBorder="1"/>
    <xf numFmtId="10" fontId="52" fillId="9" borderId="18" xfId="8" applyNumberFormat="1" applyFont="1" applyFill="1" applyBorder="1"/>
    <xf numFmtId="10" fontId="56" fillId="9" borderId="17" xfId="8" applyNumberFormat="1" applyFont="1" applyFill="1" applyBorder="1"/>
    <xf numFmtId="0" fontId="0" fillId="0" borderId="18" xfId="0" applyBorder="1"/>
    <xf numFmtId="0" fontId="0" fillId="0" borderId="17" xfId="0" applyBorder="1"/>
    <xf numFmtId="10" fontId="52" fillId="10" borderId="18" xfId="8" applyNumberFormat="1" applyFont="1" applyFill="1" applyBorder="1"/>
    <xf numFmtId="10" fontId="56" fillId="10" borderId="17" xfId="8" applyNumberFormat="1" applyFont="1" applyFill="1" applyBorder="1"/>
    <xf numFmtId="10" fontId="0" fillId="11" borderId="18" xfId="8" applyNumberFormat="1" applyFont="1" applyFill="1" applyBorder="1"/>
    <xf numFmtId="10" fontId="52" fillId="12" borderId="31" xfId="8" applyNumberFormat="1" applyFont="1" applyFill="1" applyBorder="1"/>
    <xf numFmtId="10" fontId="56" fillId="12" borderId="32" xfId="8" applyNumberFormat="1" applyFont="1" applyFill="1" applyBorder="1"/>
    <xf numFmtId="167" fontId="0" fillId="0" borderId="0" xfId="0" applyNumberFormat="1" applyFont="1" applyBorder="1" applyAlignment="1">
      <alignment shrinkToFit="1"/>
    </xf>
    <xf numFmtId="10" fontId="0" fillId="0" borderId="0" xfId="0" applyNumberFormat="1" applyFont="1" applyBorder="1" applyAlignment="1">
      <alignment shrinkToFit="1"/>
    </xf>
    <xf numFmtId="167" fontId="55" fillId="0" borderId="0" xfId="8" applyNumberFormat="1" applyFont="1" applyBorder="1" applyAlignment="1">
      <alignment shrinkToFit="1"/>
    </xf>
    <xf numFmtId="10" fontId="55" fillId="0" borderId="0" xfId="8" applyNumberFormat="1" applyFont="1" applyBorder="1" applyAlignment="1">
      <alignment shrinkToFit="1"/>
    </xf>
    <xf numFmtId="10" fontId="59" fillId="0" borderId="0" xfId="8" applyNumberFormat="1" applyFont="1"/>
    <xf numFmtId="10" fontId="44" fillId="0" borderId="18" xfId="8" applyNumberFormat="1" applyFont="1" applyBorder="1"/>
    <xf numFmtId="10" fontId="59" fillId="0" borderId="0" xfId="0" applyNumberFormat="1" applyFont="1"/>
    <xf numFmtId="10" fontId="44" fillId="11" borderId="18" xfId="8" applyNumberFormat="1" applyFont="1" applyFill="1" applyBorder="1"/>
    <xf numFmtId="0" fontId="0" fillId="3" borderId="0" xfId="0" applyFill="1" applyProtection="1">
      <protection locked="0"/>
    </xf>
    <xf numFmtId="0" fontId="49" fillId="3" borderId="0" xfId="0" applyFont="1" applyFill="1" applyProtection="1">
      <protection locked="0"/>
    </xf>
    <xf numFmtId="10" fontId="41" fillId="0" borderId="18" xfId="8" applyNumberFormat="1" applyFont="1" applyBorder="1"/>
    <xf numFmtId="10" fontId="44" fillId="0" borderId="0" xfId="8" applyNumberFormat="1" applyFont="1" applyBorder="1"/>
    <xf numFmtId="10" fontId="60" fillId="0" borderId="18" xfId="8" applyNumberFormat="1" applyFont="1" applyBorder="1"/>
    <xf numFmtId="4" fontId="45" fillId="2" borderId="33" xfId="0" applyNumberFormat="1" applyFont="1" applyFill="1" applyBorder="1"/>
    <xf numFmtId="4" fontId="44" fillId="2" borderId="34" xfId="0" applyNumberFormat="1" applyFont="1" applyFill="1" applyBorder="1"/>
    <xf numFmtId="4" fontId="44" fillId="2" borderId="34" xfId="0" applyNumberFormat="1" applyFont="1" applyFill="1" applyBorder="1" applyAlignment="1">
      <alignment shrinkToFit="1"/>
    </xf>
    <xf numFmtId="0" fontId="48" fillId="2" borderId="0" xfId="0" applyFont="1" applyFill="1" applyAlignment="1">
      <alignment horizontal="center"/>
    </xf>
    <xf numFmtId="0" fontId="41" fillId="2" borderId="0" xfId="0" applyFont="1" applyFill="1" applyAlignment="1">
      <alignment horizontal="center" vertical="center" wrapText="1"/>
    </xf>
    <xf numFmtId="4" fontId="41" fillId="2" borderId="1" xfId="0" applyNumberFormat="1" applyFont="1" applyFill="1" applyBorder="1" applyAlignment="1">
      <alignment horizontal="center" vertical="center" wrapText="1"/>
    </xf>
    <xf numFmtId="0" fontId="9" fillId="0" borderId="0" xfId="40"/>
    <xf numFmtId="0" fontId="53" fillId="0" borderId="0" xfId="40" applyFont="1"/>
    <xf numFmtId="49" fontId="9" fillId="0" borderId="0" xfId="40" applyNumberFormat="1"/>
    <xf numFmtId="0" fontId="3" fillId="0" borderId="0" xfId="46"/>
    <xf numFmtId="49" fontId="3" fillId="0" borderId="0" xfId="46" applyNumberFormat="1"/>
    <xf numFmtId="0" fontId="2" fillId="0" borderId="0" xfId="47"/>
    <xf numFmtId="0" fontId="53" fillId="0" borderId="0" xfId="47" applyFont="1"/>
    <xf numFmtId="49" fontId="2" fillId="0" borderId="0" xfId="47" applyNumberFormat="1"/>
    <xf numFmtId="0" fontId="48" fillId="2" borderId="0" xfId="0" applyFont="1" applyFill="1" applyAlignment="1">
      <alignment horizontal="center"/>
    </xf>
    <xf numFmtId="0" fontId="47" fillId="2" borderId="1" xfId="0" applyFont="1" applyFill="1" applyBorder="1" applyAlignment="1">
      <alignment horizontal="center" vertical="center"/>
    </xf>
    <xf numFmtId="0" fontId="46" fillId="2" borderId="25" xfId="0" applyFont="1" applyFill="1" applyBorder="1" applyAlignment="1">
      <alignment horizontal="left" shrinkToFit="1"/>
    </xf>
    <xf numFmtId="0" fontId="46" fillId="2" borderId="0" xfId="0" applyFont="1" applyFill="1" applyBorder="1" applyAlignment="1">
      <alignment horizontal="left" shrinkToFit="1"/>
    </xf>
    <xf numFmtId="0" fontId="1" fillId="0" borderId="0" xfId="48"/>
    <xf numFmtId="0" fontId="53" fillId="0" borderId="0" xfId="48" applyFont="1"/>
    <xf numFmtId="0" fontId="53" fillId="0" borderId="0" xfId="48" applyFont="1" applyAlignment="1">
      <alignment wrapText="1"/>
    </xf>
    <xf numFmtId="49" fontId="1" fillId="0" borderId="0" xfId="48" applyNumberFormat="1"/>
  </cellXfs>
  <cellStyles count="49">
    <cellStyle name="Normalny" xfId="0" builtinId="0"/>
    <cellStyle name="Normalny 10" xfId="10"/>
    <cellStyle name="Normalny 10 2" xfId="23"/>
    <cellStyle name="Normalny 11" xfId="11"/>
    <cellStyle name="Normalny 12" xfId="12"/>
    <cellStyle name="Normalny 13" xfId="13"/>
    <cellStyle name="Normalny 14" xfId="14"/>
    <cellStyle name="Normalny 15" xfId="15"/>
    <cellStyle name="Normalny 16" xfId="16"/>
    <cellStyle name="Normalny 17" xfId="17"/>
    <cellStyle name="Normalny 18" xfId="18"/>
    <cellStyle name="Normalny 19" xfId="19"/>
    <cellStyle name="Normalny 2" xfId="1"/>
    <cellStyle name="Normalny 20" xfId="20"/>
    <cellStyle name="Normalny 21" xfId="21"/>
    <cellStyle name="Normalny 22" xfId="22"/>
    <cellStyle name="Normalny 23" xfId="25"/>
    <cellStyle name="Normalny 24" xfId="24"/>
    <cellStyle name="Normalny 25" xfId="26"/>
    <cellStyle name="Normalny 26" xfId="27"/>
    <cellStyle name="Normalny 27" xfId="28"/>
    <cellStyle name="Normalny 28" xfId="29"/>
    <cellStyle name="Normalny 29" xfId="30"/>
    <cellStyle name="Normalny 3" xfId="2"/>
    <cellStyle name="Normalny 30" xfId="31"/>
    <cellStyle name="Normalny 31" xfId="32"/>
    <cellStyle name="Normalny 32" xfId="33"/>
    <cellStyle name="Normalny 33" xfId="34"/>
    <cellStyle name="Normalny 34" xfId="35"/>
    <cellStyle name="Normalny 35" xfId="36"/>
    <cellStyle name="Normalny 36" xfId="37"/>
    <cellStyle name="Normalny 37" xfId="38"/>
    <cellStyle name="Normalny 38" xfId="39"/>
    <cellStyle name="Normalny 39" xfId="40"/>
    <cellStyle name="Normalny 4" xfId="3"/>
    <cellStyle name="Normalny 40" xfId="41"/>
    <cellStyle name="Normalny 41" xfId="42"/>
    <cellStyle name="Normalny 42" xfId="43"/>
    <cellStyle name="Normalny 43" xfId="44"/>
    <cellStyle name="Normalny 44" xfId="45"/>
    <cellStyle name="Normalny 45" xfId="46"/>
    <cellStyle name="Normalny 46" xfId="47"/>
    <cellStyle name="Normalny 47" xfId="48"/>
    <cellStyle name="Normalny 5" xfId="4"/>
    <cellStyle name="Normalny 6" xfId="5"/>
    <cellStyle name="Normalny 7" xfId="6"/>
    <cellStyle name="Normalny 8" xfId="7"/>
    <cellStyle name="Normalny 9" xfId="9"/>
    <cellStyle name="Procentowy" xfId="8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 enableFormatConditionsCalculation="0">
    <tabColor indexed="17"/>
    <pageSetUpPr fitToPage="1"/>
  </sheetPr>
  <dimension ref="A1:U78"/>
  <sheetViews>
    <sheetView tabSelected="1" zoomScaleNormal="100" workbookViewId="0">
      <pane ySplit="9" topLeftCell="A10" activePane="bottomLeft" state="frozen"/>
      <selection pane="bottomLeft" activeCell="O13" sqref="O13"/>
    </sheetView>
  </sheetViews>
  <sheetFormatPr defaultRowHeight="12.75"/>
  <cols>
    <col min="1" max="2" width="2.140625" style="2" customWidth="1"/>
    <col min="3" max="3" width="2.5703125" style="2" customWidth="1"/>
    <col min="4" max="4" width="36.5703125" style="2" bestFit="1" customWidth="1"/>
    <col min="5" max="5" width="14.140625" style="3" customWidth="1"/>
    <col min="6" max="13" width="14.140625" style="4" customWidth="1"/>
    <col min="14" max="14" width="7" style="4" customWidth="1"/>
    <col min="15" max="16" width="9.140625" style="4" bestFit="1" customWidth="1"/>
    <col min="17" max="19" width="7" style="4" customWidth="1"/>
    <col min="20" max="20" width="9.140625" style="2"/>
    <col min="21" max="21" width="13.42578125" style="2" bestFit="1" customWidth="1"/>
    <col min="22" max="16384" width="9.140625" style="2"/>
  </cols>
  <sheetData>
    <row r="1" spans="1:21">
      <c r="A1" s="2" t="str">
        <f>LEFT(SPRZEDAŻ!A1,LEN(SPRZEDAŻ!A1)-36)</f>
        <v xml:space="preserve">PDV: 10023 - TRYTOMA  Sp. z o.o.                    </v>
      </c>
      <c r="F1" s="2" t="s">
        <v>73</v>
      </c>
      <c r="G1" s="101" t="s">
        <v>75</v>
      </c>
      <c r="H1" s="102" t="s">
        <v>86</v>
      </c>
      <c r="S1" s="5"/>
    </row>
    <row r="3" spans="1:21" ht="18">
      <c r="A3" s="162" t="s">
        <v>77</v>
      </c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</row>
    <row r="4" spans="1:21" ht="18">
      <c r="A4" s="162" t="str">
        <f>RIGHT(A7,27)</f>
        <v>Od 21/09/2026 do 27/09/2026</v>
      </c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</row>
    <row r="5" spans="1:21" ht="18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151"/>
      <c r="M5" s="6"/>
      <c r="N5" s="6"/>
      <c r="O5" s="6"/>
      <c r="P5" s="6"/>
      <c r="Q5" s="6"/>
      <c r="R5" s="6"/>
      <c r="S5" s="6"/>
    </row>
    <row r="6" spans="1:21" ht="12.75" customHeight="1">
      <c r="A6" s="2" t="str">
        <f>SPRZEDAŻ!A2</f>
        <v>Zestawienie : Wejścia/Wyjścia: Poziom szczegółu: wg.nomenklatury, Szczegóły Zakres: nie szczegółowe, Ruch: Sprzedaż po rabacie, Typ wyceny: FIFO</v>
      </c>
      <c r="B6" s="6"/>
      <c r="C6" s="6"/>
      <c r="D6" s="6"/>
      <c r="E6" s="6"/>
      <c r="F6" s="6"/>
      <c r="G6" s="6"/>
      <c r="H6" s="6"/>
      <c r="I6" s="6"/>
      <c r="J6" s="6"/>
      <c r="K6" s="6"/>
      <c r="L6" s="151"/>
      <c r="M6" s="6"/>
      <c r="N6" s="6"/>
      <c r="O6" s="6"/>
      <c r="P6" s="6"/>
      <c r="Q6" s="6"/>
      <c r="R6" s="6"/>
      <c r="S6" s="6"/>
    </row>
    <row r="7" spans="1:21">
      <c r="A7" s="2" t="str">
        <f>SPRZEDAŻ!A4</f>
        <v>Wybór Danych:  Od 21/09/2026 do 27/09/2026</v>
      </c>
    </row>
    <row r="8" spans="1:21" ht="13.5" thickBot="1">
      <c r="A8" s="2" t="str">
        <f>SPRZEDAŻ!A5</f>
        <v>Kryteria wyboru:</v>
      </c>
    </row>
    <row r="9" spans="1:21" s="12" customFormat="1" ht="38.25">
      <c r="A9" s="163" t="s">
        <v>65</v>
      </c>
      <c r="B9" s="163"/>
      <c r="C9" s="163"/>
      <c r="D9" s="163"/>
      <c r="E9" s="7" t="s">
        <v>60</v>
      </c>
      <c r="F9" s="8" t="s">
        <v>61</v>
      </c>
      <c r="G9" s="8" t="s">
        <v>61</v>
      </c>
      <c r="H9" s="9" t="s">
        <v>62</v>
      </c>
      <c r="I9" s="8" t="s">
        <v>63</v>
      </c>
      <c r="J9" s="8" t="s">
        <v>64</v>
      </c>
      <c r="K9" s="8" t="s">
        <v>76</v>
      </c>
      <c r="L9" s="153" t="s">
        <v>196</v>
      </c>
      <c r="M9" s="8" t="s">
        <v>78</v>
      </c>
      <c r="N9" s="54" t="s">
        <v>57</v>
      </c>
      <c r="O9" s="49" t="s">
        <v>58</v>
      </c>
      <c r="P9" s="67" t="s">
        <v>79</v>
      </c>
      <c r="Q9" s="54" t="s">
        <v>74</v>
      </c>
      <c r="R9" s="10" t="s">
        <v>56</v>
      </c>
      <c r="S9" s="11" t="s">
        <v>59</v>
      </c>
      <c r="U9" s="152" t="s">
        <v>195</v>
      </c>
    </row>
    <row r="10" spans="1:21" s="14" customFormat="1">
      <c r="A10" s="13" t="s">
        <v>40</v>
      </c>
      <c r="E10" s="15"/>
      <c r="F10" s="16"/>
      <c r="G10" s="16"/>
      <c r="H10" s="17"/>
      <c r="I10" s="16"/>
      <c r="J10" s="16"/>
      <c r="K10" s="16"/>
      <c r="L10" s="16"/>
      <c r="M10" s="16"/>
      <c r="N10" s="50"/>
      <c r="O10" s="18"/>
      <c r="P10" s="18"/>
      <c r="Q10" s="50"/>
      <c r="R10" s="18"/>
      <c r="S10" s="68"/>
    </row>
    <row r="11" spans="1:21" s="14" customFormat="1">
      <c r="B11" s="13" t="s">
        <v>41</v>
      </c>
      <c r="E11" s="15"/>
      <c r="F11" s="16"/>
      <c r="G11" s="16"/>
      <c r="H11" s="17"/>
      <c r="I11" s="16"/>
      <c r="J11" s="16"/>
      <c r="K11" s="16"/>
      <c r="L11" s="16"/>
      <c r="M11" s="16"/>
      <c r="N11" s="50"/>
      <c r="O11" s="18"/>
      <c r="P11" s="18"/>
      <c r="Q11" s="50"/>
      <c r="R11" s="18"/>
      <c r="S11" s="68"/>
    </row>
    <row r="12" spans="1:21" s="14" customFormat="1">
      <c r="C12" s="13" t="s">
        <v>42</v>
      </c>
      <c r="E12" s="15"/>
      <c r="F12" s="16"/>
      <c r="G12" s="16"/>
      <c r="H12" s="17"/>
      <c r="I12" s="16"/>
      <c r="J12" s="16"/>
      <c r="K12" s="16"/>
      <c r="L12" s="16"/>
      <c r="M12" s="16"/>
      <c r="N12" s="50"/>
      <c r="O12" s="18"/>
      <c r="P12" s="18"/>
      <c r="Q12" s="50"/>
      <c r="R12" s="18"/>
      <c r="S12" s="68"/>
    </row>
    <row r="13" spans="1:21" s="14" customFormat="1">
      <c r="D13" s="14" t="s">
        <v>4</v>
      </c>
      <c r="E13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6493.55</v>
      </c>
      <c r="F13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38114.15</v>
      </c>
      <c r="G13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1921.07</v>
      </c>
      <c r="H13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40035.22</v>
      </c>
      <c r="I13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",30-LEN(D:D)),SPRZEDAŻ!B:J,4,0)),VLOOKUP(D:D,SPRZEDAŻ!B:J,4,0)))+IF(ISERROR(VLOOKUP(D13,REP!B:E,4,0))=TRUE,0,VLOOKUP(D13,REP!B:E,4,0))</f>
        <v>29667.32</v>
      </c>
      <c r="J13" s="16">
        <f>F13-I13</f>
        <v>8446.8300000000017</v>
      </c>
      <c r="K13" s="16">
        <f>IF(ISERROR(VLOOKUP(LEFT(D13,2),PL!A:E,5,0))=TRUE,0,VLOOKUP(LEFT(D13,2),PL!A:E,5,0))</f>
        <v>4072.3199999999993</v>
      </c>
      <c r="L13" s="16">
        <f t="shared" ref="L13:L20" si="0">IFERROR(K13/H13*100,0)</f>
        <v>10.171843691629517</v>
      </c>
      <c r="M13" s="16">
        <f>IF(ISERROR(VLOOKUP(D13,RW!B:E,4,0))=TRUE,0,VLOOKUP(D13,RW!B:E,4,0))</f>
        <v>0</v>
      </c>
      <c r="N13" s="50">
        <f>IF(G$1="","",IF(G$1="SUPER",VLOOKUP(D13,BUDŻET!H:K,3,0)*100,IF(G$1="SUPER+",VLOOKUP(D13,BUDŻET!H:K,4,0)*100,IF(G$1="CONTACT",VLOOKUP(D13,BUDŻET!H:K,2,0)*100,IF(G$1="WŁASNY",VLOOKUP(D13,BUDŻET!H:L,5,0)*100,"błąd")))))</f>
        <v>20.399999999999999</v>
      </c>
      <c r="O13" s="18">
        <f t="shared" ref="O13:O20" si="1">IF(ISERROR(J13/H13*100)=TRUE,0,J13/H13*100)</f>
        <v>21.098497772711131</v>
      </c>
      <c r="P13" s="18">
        <f>IF(ISERROR((J13-K13-M13)/H13*100)=TRUE,0,(J13-K13-M13)/H13*100)</f>
        <v>10.926654081081612</v>
      </c>
      <c r="Q13" s="50">
        <f>IF(G$1="","",IF(G$1="SUPER",VLOOKUP(D13,BUDŻET!B:E,3,0)*100,IF(G$1="SUPER+",VLOOKUP(D13,BUDŻET!B:E,4,0)*100,IF(G$1="CONTACT",VLOOKUP(D13,BUDŻET!B:E,2,0)*100,IF(G$1="WŁASNY",VLOOKUP(D13,BUDŻET!B:F,5,0)*100,"błąd")))))</f>
        <v>4</v>
      </c>
      <c r="R13" s="18">
        <f>H13/H$51*100</f>
        <v>7.7734636979492659</v>
      </c>
      <c r="S13" s="68">
        <f t="shared" ref="S13:S21" si="2">H13/H$77*100</f>
        <v>6.9776082835284248</v>
      </c>
      <c r="U13" s="16">
        <f>J13-K13</f>
        <v>4374.510000000002</v>
      </c>
    </row>
    <row r="14" spans="1:21" s="14" customFormat="1">
      <c r="D14" s="14" t="s">
        <v>5</v>
      </c>
      <c r="E14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48.25</v>
      </c>
      <c r="F14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814.81999999999994</v>
      </c>
      <c r="G14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40.74</v>
      </c>
      <c r="H14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855.56</v>
      </c>
      <c r="I14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",30-LEN(D:D)),SPRZEDAŻ!B:J,4,0)),VLOOKUP(D:D,SPRZEDAŻ!B:J,4,0)))+IF(ISERROR(VLOOKUP(D14,REP!B:E,4,0))=TRUE,0,VLOOKUP(D14,REP!B:E,4,0))</f>
        <v>558.80999999999995</v>
      </c>
      <c r="J14" s="16">
        <f t="shared" ref="J14:J20" si="3">F14-I14</f>
        <v>256.01</v>
      </c>
      <c r="K14" s="16">
        <f>IF(ISERROR(VLOOKUP(LEFT(D14,2),PL!A:E,5,0))=TRUE,0,VLOOKUP(LEFT(D14,2),PL!A:E,5,0))</f>
        <v>0</v>
      </c>
      <c r="L14" s="16">
        <f t="shared" si="0"/>
        <v>0</v>
      </c>
      <c r="M14" s="16">
        <f>IF(ISERROR(VLOOKUP(D14,RW!B:E,4,0))=TRUE,0,VLOOKUP(D14,RW!B:E,4,0))</f>
        <v>0</v>
      </c>
      <c r="N14" s="50">
        <f>IF(G$1="","",IF(G$1="SUPER",VLOOKUP(D14,BUDŻET!H:K,3,0)*100,IF(G$1="SUPER+",VLOOKUP(D14,BUDŻET!H:K,4,0)*100,IF(G$1="CONTACT",VLOOKUP(D14,BUDŻET!H:K,2,0)*100,IF(G$1="WŁASNY",VLOOKUP(D14,BUDŻET!H:L,5,0)*100,"błąd")))))</f>
        <v>16</v>
      </c>
      <c r="O14" s="18">
        <f t="shared" si="1"/>
        <v>29.923091308616577</v>
      </c>
      <c r="P14" s="18">
        <f t="shared" ref="P14:P20" si="4">IF(ISERROR((J14-K14-M14)/H14*100)=TRUE,0,(J14-K14-M14)/H14*100)</f>
        <v>29.923091308616577</v>
      </c>
      <c r="Q14" s="50">
        <f>IF(G$1="","",IF(G$1="SUPER",VLOOKUP(D14,BUDŻET!B:E,3,0)*100,IF(G$1="SUPER+",VLOOKUP(D14,BUDŻET!B:E,4,0)*100,IF(G$1="CONTACT",VLOOKUP(D14,BUDŻET!B:E,2,0)*100,IF(G$1="WŁASNY",VLOOKUP(D14,BUDŻET!B:F,5,0)*100,"błąd")))))</f>
        <v>0</v>
      </c>
      <c r="R14" s="18">
        <f t="shared" ref="R14:R21" si="5">H14/H$51*100</f>
        <v>0.16612034607072157</v>
      </c>
      <c r="S14" s="68">
        <f t="shared" si="2"/>
        <v>0.14911276978259591</v>
      </c>
      <c r="U14" s="16">
        <f t="shared" ref="U14:U76" si="6">J14-K14</f>
        <v>256.01</v>
      </c>
    </row>
    <row r="15" spans="1:21" s="14" customFormat="1">
      <c r="D15" s="14" t="s">
        <v>13</v>
      </c>
      <c r="E15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5211</v>
      </c>
      <c r="F15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6894.15</v>
      </c>
      <c r="G15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344.71</v>
      </c>
      <c r="H15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7238.85</v>
      </c>
      <c r="I15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",30-LEN(D:D)),SPRZEDAŻ!B:J,4,0)),VLOOKUP(D:D,SPRZEDAŻ!B:J,4,0)))+IF(ISERROR(VLOOKUP(D15,REP!B:E,4,0))=TRUE,0,VLOOKUP(D15,REP!B:E,4,0))</f>
        <v>4851.1099999999997</v>
      </c>
      <c r="J15" s="16">
        <f t="shared" si="3"/>
        <v>2043.04</v>
      </c>
      <c r="K15" s="16">
        <f>IF(ISERROR(VLOOKUP(LEFT(D15,2),PL!A:E,5,0))=TRUE,0,VLOOKUP(LEFT(D15,2),PL!A:E,5,0))</f>
        <v>611.45000000000005</v>
      </c>
      <c r="L15" s="16">
        <f t="shared" si="0"/>
        <v>8.4467836742023952</v>
      </c>
      <c r="M15" s="16">
        <f>IF(ISERROR(VLOOKUP(D15,RW!B:E,4,0))=TRUE,0,VLOOKUP(D15,RW!B:E,4,0))</f>
        <v>0</v>
      </c>
      <c r="N15" s="50">
        <f>IF(G$1="","",IF(G$1="SUPER",VLOOKUP(D15,BUDŻET!H:K,3,0)*100,IF(G$1="SUPER+",VLOOKUP(D15,BUDŻET!H:K,4,0)*100,IF(G$1="CONTACT",VLOOKUP(D15,BUDŻET!H:K,2,0)*100,IF(G$1="WŁASNY",VLOOKUP(D15,BUDŻET!H:L,5,0)*100,"błąd")))))</f>
        <v>33</v>
      </c>
      <c r="O15" s="18">
        <f t="shared" si="1"/>
        <v>28.223267507960514</v>
      </c>
      <c r="P15" s="18">
        <f t="shared" si="4"/>
        <v>19.776483833758121</v>
      </c>
      <c r="Q15" s="50">
        <f>IF(G$1="","",IF(G$1="SUPER",VLOOKUP(D15,BUDŻET!B:E,3,0)*100,IF(G$1="SUPER+",VLOOKUP(D15,BUDŻET!B:E,4,0)*100,IF(G$1="CONTACT",VLOOKUP(D15,BUDŻET!B:E,2,0)*100,IF(G$1="WŁASNY",VLOOKUP(D15,BUDŻET!B:F,5,0)*100,"błąd")))))</f>
        <v>3</v>
      </c>
      <c r="R15" s="18">
        <f t="shared" si="5"/>
        <v>1.4055358679158014</v>
      </c>
      <c r="S15" s="68">
        <f t="shared" si="2"/>
        <v>1.2616356229145174</v>
      </c>
      <c r="U15" s="16">
        <f t="shared" si="6"/>
        <v>1431.59</v>
      </c>
    </row>
    <row r="16" spans="1:21" s="14" customFormat="1">
      <c r="D16" s="14" t="s">
        <v>14</v>
      </c>
      <c r="E16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150.55000000000001</v>
      </c>
      <c r="F16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4309.51</v>
      </c>
      <c r="G16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215.48</v>
      </c>
      <c r="H16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4524.99</v>
      </c>
      <c r="I16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",30-LEN(D:D)),SPRZEDAŻ!B:J,4,0)),VLOOKUP(D:D,SPRZEDAŻ!B:J,4,0)))+IF(ISERROR(VLOOKUP(D16,REP!B:E,4,0))=TRUE,0,VLOOKUP(D16,REP!B:E,4,0))</f>
        <v>3217.56</v>
      </c>
      <c r="J16" s="16">
        <f t="shared" si="3"/>
        <v>1091.9500000000003</v>
      </c>
      <c r="K16" s="16">
        <f>IF(ISERROR(VLOOKUP(LEFT(D16,2),PL!A:E,5,0))=TRUE,0,VLOOKUP(LEFT(D16,2),PL!A:E,5,0))</f>
        <v>43.33</v>
      </c>
      <c r="L16" s="16">
        <f t="shared" si="0"/>
        <v>0.9575711769528773</v>
      </c>
      <c r="M16" s="16">
        <f>IF(ISERROR(VLOOKUP(D16,RW!B:E,4,0))=TRUE,0,VLOOKUP(D16,RW!B:E,4,0))</f>
        <v>0</v>
      </c>
      <c r="N16" s="50">
        <f>IF(G$1="","",IF(G$1="SUPER",VLOOKUP(D16,BUDŻET!H:K,3,0)*100,IF(G$1="SUPER+",VLOOKUP(D16,BUDŻET!H:K,4,0)*100,IF(G$1="CONTACT",VLOOKUP(D16,BUDŻET!H:K,2,0)*100,IF(G$1="WŁASNY",VLOOKUP(D16,BUDŻET!H:L,5,0)*100,"błąd")))))</f>
        <v>17</v>
      </c>
      <c r="O16" s="18">
        <f t="shared" si="1"/>
        <v>24.131545042088497</v>
      </c>
      <c r="P16" s="18">
        <f t="shared" si="4"/>
        <v>23.173973865135622</v>
      </c>
      <c r="Q16" s="50">
        <f>IF(G$1="","",IF(G$1="SUPER",VLOOKUP(D16,BUDŻET!B:E,3,0)*100,IF(G$1="SUPER+",VLOOKUP(D16,BUDŻET!B:E,4,0)*100,IF(G$1="CONTACT",VLOOKUP(D16,BUDŻET!B:E,2,0)*100,IF(G$1="WŁASNY",VLOOKUP(D16,BUDŻET!B:F,5,0)*100,"błąd")))))</f>
        <v>1</v>
      </c>
      <c r="R16" s="18">
        <f t="shared" si="5"/>
        <v>0.87859753233736315</v>
      </c>
      <c r="S16" s="68">
        <f t="shared" si="2"/>
        <v>0.78864579005393964</v>
      </c>
      <c r="U16" s="16">
        <f t="shared" si="6"/>
        <v>1048.6200000000003</v>
      </c>
    </row>
    <row r="17" spans="1:21" s="14" customFormat="1">
      <c r="D17" s="14" t="s">
        <v>15</v>
      </c>
      <c r="E17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350.44</v>
      </c>
      <c r="F17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11527.41</v>
      </c>
      <c r="G17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576.37</v>
      </c>
      <c r="H17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12103.79</v>
      </c>
      <c r="I17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",30-LEN(D:D)),SPRZEDAŻ!B:J,4,0)),VLOOKUP(D:D,SPRZEDAŻ!B:J,4,0)))+IF(ISERROR(VLOOKUP(D17,REP!B:E,4,0))=TRUE,0,VLOOKUP(D17,REP!B:E,4,0))</f>
        <v>8594.2900000000009</v>
      </c>
      <c r="J17" s="16">
        <f t="shared" si="3"/>
        <v>2933.119999999999</v>
      </c>
      <c r="K17" s="16">
        <f>IF(ISERROR(VLOOKUP(LEFT(D17,2),PL!A:E,5,0))=TRUE,0,VLOOKUP(LEFT(D17,2),PL!A:E,5,0))</f>
        <v>352.75</v>
      </c>
      <c r="L17" s="16">
        <f t="shared" si="0"/>
        <v>2.9143764060678512</v>
      </c>
      <c r="M17" s="16">
        <f>IF(ISERROR(VLOOKUP(D17,RW!B:E,4,0))=TRUE,0,VLOOKUP(D17,RW!B:E,4,0))</f>
        <v>0</v>
      </c>
      <c r="N17" s="50">
        <f>IF(G$1="","",IF(G$1="SUPER",VLOOKUP(D17,BUDŻET!H:K,3,0)*100,IF(G$1="SUPER+",VLOOKUP(D17,BUDŻET!H:K,4,0)*100,IF(G$1="CONTACT",VLOOKUP(D17,BUDŻET!H:K,2,0)*100,IF(G$1="WŁASNY",VLOOKUP(D17,BUDŻET!H:L,5,0)*100,"błąd")))))</f>
        <v>25</v>
      </c>
      <c r="O17" s="18">
        <f t="shared" si="1"/>
        <v>24.233070798485421</v>
      </c>
      <c r="P17" s="18">
        <f t="shared" si="4"/>
        <v>21.318694392417573</v>
      </c>
      <c r="Q17" s="50">
        <f>IF(G$1="","",IF(G$1="SUPER",VLOOKUP(D17,BUDŻET!B:E,3,0)*100,IF(G$1="SUPER+",VLOOKUP(D17,BUDŻET!B:E,4,0)*100,IF(G$1="CONTACT",VLOOKUP(D17,BUDŻET!B:E,2,0)*100,IF(G$1="WŁASNY",VLOOKUP(D17,BUDŻET!B:F,5,0)*100,"błąd")))))</f>
        <v>3</v>
      </c>
      <c r="R17" s="18">
        <f t="shared" si="5"/>
        <v>2.350140006039716</v>
      </c>
      <c r="S17" s="68">
        <f t="shared" si="2"/>
        <v>2.1095301928174375</v>
      </c>
      <c r="U17" s="16">
        <f t="shared" si="6"/>
        <v>2580.369999999999</v>
      </c>
    </row>
    <row r="18" spans="1:21" s="14" customFormat="1">
      <c r="D18" s="14" t="s">
        <v>16</v>
      </c>
      <c r="E18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162.9</v>
      </c>
      <c r="F18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3268.4700000000003</v>
      </c>
      <c r="G18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437.67</v>
      </c>
      <c r="H18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3706.13</v>
      </c>
      <c r="I18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",30-LEN(D:D)),SPRZEDAŻ!B:J,4,0)),VLOOKUP(D:D,SPRZEDAŻ!B:J,4,0)))+IF(ISERROR(VLOOKUP(D18,REP!B:E,4,0))=TRUE,0,VLOOKUP(D18,REP!B:E,4,0))</f>
        <v>1888.22</v>
      </c>
      <c r="J18" s="16">
        <f t="shared" si="3"/>
        <v>1380.2500000000002</v>
      </c>
      <c r="K18" s="16">
        <f>IF(ISERROR(VLOOKUP(LEFT(D18,2),PL!A:E,5,0))=TRUE,0,VLOOKUP(LEFT(D18,2),PL!A:E,5,0))</f>
        <v>0</v>
      </c>
      <c r="L18" s="16">
        <f t="shared" si="0"/>
        <v>0</v>
      </c>
      <c r="M18" s="16">
        <f>IF(ISERROR(VLOOKUP(D18,RW!B:E,4,0))=TRUE,0,VLOOKUP(D18,RW!B:E,4,0))</f>
        <v>0</v>
      </c>
      <c r="N18" s="50">
        <f>IF(G$1="","",IF(G$1="SUPER",VLOOKUP(D18,BUDŻET!H:K,3,0)*100,IF(G$1="SUPER+",VLOOKUP(D18,BUDŻET!H:K,4,0)*100,IF(G$1="CONTACT",VLOOKUP(D18,BUDŻET!H:K,2,0)*100,IF(G$1="WŁASNY",VLOOKUP(D18,BUDŻET!H:L,5,0)*100,"błąd")))))</f>
        <v>31</v>
      </c>
      <c r="O18" s="18">
        <f t="shared" si="1"/>
        <v>37.242352534854426</v>
      </c>
      <c r="P18" s="18">
        <f t="shared" si="4"/>
        <v>37.242352534854426</v>
      </c>
      <c r="Q18" s="50">
        <f>IF(G$1="","",IF(G$1="SUPER",VLOOKUP(D18,BUDŻET!B:E,3,0)*100,IF(G$1="SUPER+",VLOOKUP(D18,BUDŻET!B:E,4,0)*100,IF(G$1="CONTACT",VLOOKUP(D18,BUDŻET!B:E,2,0)*100,IF(G$1="WŁASNY",VLOOKUP(D18,BUDŻET!B:F,5,0)*100,"błąd")))))</f>
        <v>0</v>
      </c>
      <c r="R18" s="18">
        <f t="shared" si="5"/>
        <v>0.71960306487339687</v>
      </c>
      <c r="S18" s="68">
        <f t="shared" si="2"/>
        <v>0.64592934390851864</v>
      </c>
      <c r="U18" s="16">
        <f t="shared" si="6"/>
        <v>1380.2500000000002</v>
      </c>
    </row>
    <row r="19" spans="1:21" s="14" customFormat="1">
      <c r="D19" s="14" t="s">
        <v>17</v>
      </c>
      <c r="E19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135.72999999999999</v>
      </c>
      <c r="F19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4152.3900000000003</v>
      </c>
      <c r="G19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207.62</v>
      </c>
      <c r="H19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4360.01</v>
      </c>
      <c r="I19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",30-LEN(D:D)),SPRZEDAŻ!B:J,4,0)),VLOOKUP(D:D,SPRZEDAŻ!B:J,4,0)))+IF(ISERROR(VLOOKUP(D19,REP!B:E,4,0))=TRUE,0,VLOOKUP(D19,REP!B:E,4,0))</f>
        <v>2721.73</v>
      </c>
      <c r="J19" s="16">
        <f t="shared" si="3"/>
        <v>1430.6600000000003</v>
      </c>
      <c r="K19" s="16">
        <f>IF(ISERROR(VLOOKUP(LEFT(D19,2),PL!A:E,5,0))=TRUE,0,VLOOKUP(LEFT(D19,2),PL!A:E,5,0))</f>
        <v>292.07</v>
      </c>
      <c r="L19" s="16">
        <f t="shared" si="0"/>
        <v>6.698837846702185</v>
      </c>
      <c r="M19" s="16">
        <f>IF(ISERROR(VLOOKUP(D19,RW!B:E,4,0))=TRUE,0,VLOOKUP(D19,RW!B:E,4,0))</f>
        <v>0</v>
      </c>
      <c r="N19" s="50">
        <f>IF(G$1="","",IF(G$1="SUPER",VLOOKUP(D19,BUDŻET!H:K,3,0)*100,IF(G$1="SUPER+",VLOOKUP(D19,BUDŻET!H:K,4,0)*100,IF(G$1="CONTACT",VLOOKUP(D19,BUDŻET!H:K,2,0)*100,IF(G$1="WŁASNY",VLOOKUP(D19,BUDŻET!H:L,5,0)*100,"błąd")))))</f>
        <v>30</v>
      </c>
      <c r="O19" s="18">
        <f t="shared" si="1"/>
        <v>32.813227492597505</v>
      </c>
      <c r="P19" s="18">
        <f t="shared" si="4"/>
        <v>26.114389645895315</v>
      </c>
      <c r="Q19" s="50">
        <f>IF(G$1="","",IF(G$1="SUPER",VLOOKUP(D19,BUDŻET!B:E,3,0)*100,IF(G$1="SUPER+",VLOOKUP(D19,BUDŻET!B:E,4,0)*100,IF(G$1="CONTACT",VLOOKUP(D19,BUDŻET!B:E,2,0)*100,IF(G$1="WŁASNY",VLOOKUP(D19,BUDŻET!B:F,5,0)*100,"błąd")))))</f>
        <v>4</v>
      </c>
      <c r="R19" s="18">
        <f t="shared" si="5"/>
        <v>0.84656408676399875</v>
      </c>
      <c r="S19" s="68">
        <f t="shared" si="2"/>
        <v>0.75989196243374635</v>
      </c>
      <c r="U19" s="16">
        <f t="shared" si="6"/>
        <v>1138.5900000000004</v>
      </c>
    </row>
    <row r="20" spans="1:21" s="14" customFormat="1">
      <c r="A20" s="19"/>
      <c r="B20" s="19"/>
      <c r="C20" s="19"/>
      <c r="D20" s="19" t="s">
        <v>18</v>
      </c>
      <c r="E20" s="58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816.99</v>
      </c>
      <c r="F20" s="20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22893.4</v>
      </c>
      <c r="G20" s="20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1144.67</v>
      </c>
      <c r="H20" s="59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24038.07</v>
      </c>
      <c r="I20" s="20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",30-LEN(D:D)),SPRZEDAŻ!B:J,4,0)),VLOOKUP(D:D,SPRZEDAŻ!B:J,4,0)))+IF(ISERROR(VLOOKUP(D20,REP!B:E,4,0))=TRUE,0,VLOOKUP(D20,REP!B:E,4,0))</f>
        <v>11923.8</v>
      </c>
      <c r="J20" s="20">
        <f t="shared" si="3"/>
        <v>10969.600000000002</v>
      </c>
      <c r="K20" s="20">
        <f>IF(ISERROR(VLOOKUP(LEFT(D20,2),PL!A:E,5,0))=TRUE,0,VLOOKUP(LEFT(D20,2),PL!A:E,5,0))</f>
        <v>395.91</v>
      </c>
      <c r="L20" s="20">
        <f t="shared" si="0"/>
        <v>1.6470124265384036</v>
      </c>
      <c r="M20" s="148">
        <f>IF(ISERROR(VLOOKUP(D20,RW!B:E,4,0))=TRUE,0,VLOOKUP(D20,RW!B:E,4,0))</f>
        <v>0</v>
      </c>
      <c r="N20" s="51">
        <f>IF(G$1="","",IF(G$1="SUPER",VLOOKUP(D20,BUDŻET!H:K,3,0)*100,IF(G$1="SUPER+",VLOOKUP(D20,BUDŻET!H:K,4,0)*100,IF(G$1="CONTACT",VLOOKUP(D20,BUDŻET!H:K,2,0)*100,IF(G$1="WŁASNY",VLOOKUP(D20,BUDŻET!H:L,5,0)*100,"błąd")))))</f>
        <v>60</v>
      </c>
      <c r="O20" s="22">
        <f t="shared" si="1"/>
        <v>45.634279291141105</v>
      </c>
      <c r="P20" s="22">
        <f t="shared" si="4"/>
        <v>43.987266864602702</v>
      </c>
      <c r="Q20" s="21">
        <f>IF(G$1="","",IF(G$1="SUPER",VLOOKUP(D20,BUDŻET!B:E,3,0)*100,IF(G$1="SUPER+",VLOOKUP(D20,BUDŻET!B:E,4,0)*100,IF(G$1="CONTACT",VLOOKUP(D20,BUDŻET!B:E,2,0)*100,IF(G$1="WŁASNY",VLOOKUP(D20,BUDŻET!B:F,5,0)*100,"błąd")))))</f>
        <v>3</v>
      </c>
      <c r="R20" s="22">
        <f t="shared" si="5"/>
        <v>4.6673669962039259</v>
      </c>
      <c r="S20" s="69">
        <f t="shared" si="2"/>
        <v>4.1895170390480212</v>
      </c>
      <c r="U20" s="16">
        <f t="shared" si="6"/>
        <v>10573.690000000002</v>
      </c>
    </row>
    <row r="21" spans="1:21">
      <c r="A21" s="14"/>
      <c r="C21" s="23" t="s">
        <v>43</v>
      </c>
      <c r="E21" s="24">
        <f t="shared" ref="E21:K21" si="7">SUM(E13:E20)</f>
        <v>13369.409999999998</v>
      </c>
      <c r="F21" s="25">
        <f t="shared" si="7"/>
        <v>91974.300000000017</v>
      </c>
      <c r="G21" s="25">
        <f t="shared" si="7"/>
        <v>4888.33</v>
      </c>
      <c r="H21" s="17">
        <f t="shared" si="7"/>
        <v>96862.62</v>
      </c>
      <c r="I21" s="25">
        <f t="shared" si="7"/>
        <v>63422.84</v>
      </c>
      <c r="J21" s="25">
        <f t="shared" si="7"/>
        <v>28551.460000000003</v>
      </c>
      <c r="K21" s="25">
        <f t="shared" si="7"/>
        <v>5767.829999999999</v>
      </c>
      <c r="L21" s="25">
        <f t="shared" ref="L21" si="8">K21/H21*100</f>
        <v>5.9546499981107255</v>
      </c>
      <c r="M21" s="25">
        <f>SUM(M13:M20)</f>
        <v>0</v>
      </c>
      <c r="N21" s="50">
        <f>IF(G$1="","",IF(G$1="SUPER",VLOOKUP(C21,BUDŻET!H:K,3,0)*100,IF(G$1="SUPER+",VLOOKUP(C21,BUDŻET!H:K,4,0)*100,IF(G$1="CONTACT",VLOOKUP(C21,BUDŻET!H:K,2,0)*100,IF(G$1="WŁASNY",VLOOKUP(C21,BUDŻET!H:L,5,0)*100,"błąd")))))</f>
        <v>0</v>
      </c>
      <c r="O21" s="18">
        <f>J21/H21*100</f>
        <v>29.476241712231204</v>
      </c>
      <c r="P21" s="18">
        <f>(J21-K21-M21)/H21*100</f>
        <v>23.521591714120479</v>
      </c>
      <c r="Q21" s="50">
        <f>IF(G$1="","",IF(G$1="SUPER",VLOOKUP(C21,BUDŻET!B:E,3,0)*100,IF(G$1="SUPER+",VLOOKUP(C21,BUDŻET!B:E,4,0)*100,IF(G$1="CONTACT",VLOOKUP(C21,BUDŻET!B:E,2,0)*100,IF(G$1="WŁASNY",VLOOKUP(C21,BUDŻET!B:F,5,0)*100,"błąd")))))</f>
        <v>0</v>
      </c>
      <c r="R21" s="18">
        <f t="shared" si="5"/>
        <v>18.80739159815419</v>
      </c>
      <c r="S21" s="70">
        <f t="shared" si="2"/>
        <v>16.881871004487202</v>
      </c>
      <c r="T21" s="14"/>
      <c r="U21" s="16">
        <f t="shared" si="6"/>
        <v>22783.630000000005</v>
      </c>
    </row>
    <row r="22" spans="1:21">
      <c r="C22" s="23" t="s">
        <v>39</v>
      </c>
      <c r="E22" s="15"/>
      <c r="F22" s="16"/>
      <c r="G22" s="16"/>
      <c r="H22" s="17"/>
      <c r="I22" s="16"/>
      <c r="J22" s="16"/>
      <c r="K22" s="16"/>
      <c r="L22" s="16"/>
      <c r="M22" s="16"/>
      <c r="N22" s="50"/>
      <c r="O22" s="26"/>
      <c r="P22" s="26"/>
      <c r="Q22" s="52"/>
      <c r="R22" s="26"/>
      <c r="S22" s="71"/>
      <c r="T22" s="14"/>
      <c r="U22" s="16">
        <f t="shared" si="6"/>
        <v>0</v>
      </c>
    </row>
    <row r="23" spans="1:21">
      <c r="D23" s="81" t="s">
        <v>6</v>
      </c>
      <c r="E23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1262</v>
      </c>
      <c r="F23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11451.02</v>
      </c>
      <c r="G23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643.63</v>
      </c>
      <c r="H23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12094.65</v>
      </c>
      <c r="I23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",30-LEN(D:D)),SPRZEDAŻ!B:J,4,0)),VLOOKUP(D:D,SPRZEDAŻ!B:J,4,0)))+IF(ISERROR(VLOOKUP(D23,REP!B:E,4,0))=TRUE,0,VLOOKUP(D23,REP!B:E,4,0))</f>
        <v>8204.93</v>
      </c>
      <c r="J23" s="16">
        <f t="shared" ref="J23:J32" si="9">F23-I23</f>
        <v>3246.09</v>
      </c>
      <c r="K23" s="16">
        <f>IF(ISERROR(VLOOKUP(LEFT(D23,2),PL!A:E,5,0))=TRUE,0,VLOOKUP(LEFT(D23,2),PL!A:E,5,0))</f>
        <v>913.37</v>
      </c>
      <c r="L23" s="16">
        <f t="shared" ref="L23:L32" si="10">IFERROR(K23/H23*100,0)</f>
        <v>7.551851438445925</v>
      </c>
      <c r="M23" s="16">
        <f>IF(ISERROR(VLOOKUP(D23,RW!B:E,4,0))=TRUE,0,VLOOKUP(D23,RW!B:E,4,0))</f>
        <v>0</v>
      </c>
      <c r="N23" s="50">
        <f>IF(G$1="","",IF(G$1="SUPER",VLOOKUP(D23,BUDŻET!H:K,3,0)*100,IF(G$1="SUPER+",VLOOKUP(D23,BUDŻET!H:K,4,0)*100,IF(G$1="CONTACT",VLOOKUP(D23,BUDŻET!H:K,2,0)*100,IF(G$1="WŁASNY",VLOOKUP(D23,BUDŻET!H:L,5,0)*100,"błąd")))))</f>
        <v>28.000000000000004</v>
      </c>
      <c r="O23" s="18">
        <f t="shared" ref="O23:O32" si="11">IF(ISERROR(J23/H23*100)=TRUE,0,J23/H23*100)</f>
        <v>26.839056938398386</v>
      </c>
      <c r="P23" s="18">
        <f t="shared" ref="P23:P32" si="12">IF(ISERROR((J23-K23-M23)/H23*100)=TRUE,0,(J23-K23-M23)/H23*100)</f>
        <v>19.28720549995246</v>
      </c>
      <c r="Q23" s="50">
        <f>IF(G$1="","",IF(G$1="SUPER",VLOOKUP(D23,BUDŻET!B:E,3,0)*100,IF(G$1="SUPER+",VLOOKUP(D23,BUDŻET!B:E,4,0)*100,IF(G$1="CONTACT",VLOOKUP(D23,BUDŻET!B:E,2,0)*100,IF(G$1="WŁASNY",VLOOKUP(D23,BUDŻET!B:F,5,0)*100,"błąd")))))</f>
        <v>0.5</v>
      </c>
      <c r="R23" s="18">
        <f t="shared" ref="R23:R34" si="13">H23/H$51*100</f>
        <v>2.3483653321850633</v>
      </c>
      <c r="S23" s="68">
        <f t="shared" ref="S23:S34" si="14">H23/H$77*100</f>
        <v>2.1079372119443098</v>
      </c>
      <c r="T23" s="14"/>
      <c r="U23" s="16">
        <f t="shared" si="6"/>
        <v>2332.7200000000003</v>
      </c>
    </row>
    <row r="24" spans="1:21">
      <c r="D24" s="2" t="s">
        <v>7</v>
      </c>
      <c r="E24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2076.44</v>
      </c>
      <c r="F24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16537.71</v>
      </c>
      <c r="G24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826.89</v>
      </c>
      <c r="H24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17364.599999999999</v>
      </c>
      <c r="I24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",30-LEN(D:D)),SPRZEDAŻ!B:J,4,0)),VLOOKUP(D:D,SPRZEDAŻ!B:J,4,0)))+IF(ISERROR(VLOOKUP(D24,REP!B:E,4,0))=TRUE,0,VLOOKUP(D24,REP!B:E,4,0))</f>
        <v>12288</v>
      </c>
      <c r="J24" s="16">
        <f t="shared" si="9"/>
        <v>4249.7099999999991</v>
      </c>
      <c r="K24" s="16">
        <f>IF(ISERROR(VLOOKUP(LEFT(D24,2),PL!A:E,5,0))=TRUE,0,VLOOKUP(LEFT(D24,2),PL!A:E,5,0))</f>
        <v>963.54</v>
      </c>
      <c r="L24" s="16">
        <f t="shared" si="10"/>
        <v>5.5488752980201106</v>
      </c>
      <c r="M24" s="16">
        <f>IF(ISERROR(VLOOKUP(D24,RW!B:E,4,0))=TRUE,0,VLOOKUP(D24,RW!B:E,4,0))</f>
        <v>0</v>
      </c>
      <c r="N24" s="50">
        <f>IF(G$1="","",IF(G$1="SUPER",VLOOKUP(D24,BUDŻET!H:K,3,0)*100,IF(G$1="SUPER+",VLOOKUP(D24,BUDŻET!H:K,4,0)*100,IF(G$1="CONTACT",VLOOKUP(D24,BUDŻET!H:K,2,0)*100,IF(G$1="WŁASNY",VLOOKUP(D24,BUDŻET!H:L,5,0)*100,"błąd")))))</f>
        <v>25</v>
      </c>
      <c r="O24" s="18">
        <f t="shared" si="11"/>
        <v>24.473411423240382</v>
      </c>
      <c r="P24" s="18">
        <f t="shared" si="12"/>
        <v>18.924536125220275</v>
      </c>
      <c r="Q24" s="50">
        <f>IF(G$1="","",IF(G$1="SUPER",VLOOKUP(D24,BUDŻET!B:E,3,0)*100,IF(G$1="SUPER+",VLOOKUP(D24,BUDŻET!B:E,4,0)*100,IF(G$1="CONTACT",VLOOKUP(D24,BUDŻET!B:E,2,0)*100,IF(G$1="WŁASNY",VLOOKUP(D24,BUDŻET!B:F,5,0)*100,"błąd")))))</f>
        <v>3</v>
      </c>
      <c r="R24" s="18">
        <f t="shared" si="13"/>
        <v>3.3716084919580767</v>
      </c>
      <c r="S24" s="68">
        <f t="shared" si="14"/>
        <v>3.0264196574955169</v>
      </c>
      <c r="T24" s="14"/>
      <c r="U24" s="16">
        <f t="shared" si="6"/>
        <v>3286.1699999999992</v>
      </c>
    </row>
    <row r="25" spans="1:21">
      <c r="D25" s="2" t="s">
        <v>8</v>
      </c>
      <c r="E25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817.32</v>
      </c>
      <c r="F25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8266.5299999999988</v>
      </c>
      <c r="G25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422.29</v>
      </c>
      <c r="H25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8688.82</v>
      </c>
      <c r="I25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",30-LEN(D:D)),SPRZEDAŻ!B:J,4,0)),VLOOKUP(D:D,SPRZEDAŻ!B:J,4,0)))+IF(ISERROR(VLOOKUP(D25,REP!B:E,4,0))=TRUE,0,VLOOKUP(D25,REP!B:E,4,0))</f>
        <v>6118.15</v>
      </c>
      <c r="J25" s="16">
        <f t="shared" si="9"/>
        <v>2148.3799999999992</v>
      </c>
      <c r="K25" s="16">
        <f>IF(ISERROR(VLOOKUP(LEFT(D25,2),PL!A:E,5,0))=TRUE,0,VLOOKUP(LEFT(D25,2),PL!A:E,5,0))</f>
        <v>144.27000000000001</v>
      </c>
      <c r="L25" s="16">
        <f t="shared" si="10"/>
        <v>1.6604095838099999</v>
      </c>
      <c r="M25" s="16">
        <f>IF(ISERROR(VLOOKUP(D25,RW!B:E,4,0))=TRUE,0,VLOOKUP(D25,RW!B:E,4,0))</f>
        <v>0</v>
      </c>
      <c r="N25" s="50">
        <f>IF(G$1="","",IF(G$1="SUPER",VLOOKUP(D25,BUDŻET!H:K,3,0)*100,IF(G$1="SUPER+",VLOOKUP(D25,BUDŻET!H:K,4,0)*100,IF(G$1="CONTACT",VLOOKUP(D25,BUDŻET!H:K,2,0)*100,IF(G$1="WŁASNY",VLOOKUP(D25,BUDŻET!H:L,5,0)*100,"błąd")))))</f>
        <v>28.000000000000004</v>
      </c>
      <c r="O25" s="18">
        <f t="shared" si="11"/>
        <v>24.725797058749048</v>
      </c>
      <c r="P25" s="18">
        <f t="shared" si="12"/>
        <v>23.065387474939051</v>
      </c>
      <c r="Q25" s="50">
        <f>IF(G$1="","",IF(G$1="SUPER",VLOOKUP(D25,BUDŻET!B:E,3,0)*100,IF(G$1="SUPER+",VLOOKUP(D25,BUDŻET!B:E,4,0)*100,IF(G$1="CONTACT",VLOOKUP(D25,BUDŻET!B:E,2,0)*100,IF(G$1="WŁASNY",VLOOKUP(D25,BUDŻET!B:F,5,0)*100,"błąd")))))</f>
        <v>3</v>
      </c>
      <c r="R25" s="18">
        <f t="shared" si="13"/>
        <v>1.6870702058841076</v>
      </c>
      <c r="S25" s="68">
        <f t="shared" si="14"/>
        <v>1.5143461783421559</v>
      </c>
      <c r="T25" s="14"/>
      <c r="U25" s="16">
        <f t="shared" si="6"/>
        <v>2004.1099999999992</v>
      </c>
    </row>
    <row r="26" spans="1:21">
      <c r="D26" s="2" t="s">
        <v>9</v>
      </c>
      <c r="E26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2447.9699999999998</v>
      </c>
      <c r="F26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11854.46</v>
      </c>
      <c r="G26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592.72</v>
      </c>
      <c r="H26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12447.18</v>
      </c>
      <c r="I26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",30-LEN(D:D)),SPRZEDAŻ!B:J,4,0)),VLOOKUP(D:D,SPRZEDAŻ!B:J,4,0)))+IF(ISERROR(VLOOKUP(D26,REP!B:E,4,0))=TRUE,0,VLOOKUP(D26,REP!B:E,4,0))</f>
        <v>7845.33</v>
      </c>
      <c r="J26" s="16">
        <f t="shared" si="9"/>
        <v>4009.1299999999992</v>
      </c>
      <c r="K26" s="16">
        <f>IF(ISERROR(VLOOKUP(LEFT(D26,2),PL!A:E,5,0))=TRUE,0,VLOOKUP(LEFT(D26,2),PL!A:E,5,0))</f>
        <v>15.15</v>
      </c>
      <c r="L26" s="16">
        <f t="shared" si="10"/>
        <v>0.1217143160137477</v>
      </c>
      <c r="M26" s="16">
        <f>IF(ISERROR(VLOOKUP(D26,RW!B:E,4,0))=TRUE,0,VLOOKUP(D26,RW!B:E,4,0))</f>
        <v>0</v>
      </c>
      <c r="N26" s="50">
        <f>IF(G$1="","",IF(G$1="SUPER",VLOOKUP(D26,BUDŻET!H:K,3,0)*100,IF(G$1="SUPER+",VLOOKUP(D26,BUDŻET!H:K,4,0)*100,IF(G$1="CONTACT",VLOOKUP(D26,BUDŻET!H:K,2,0)*100,IF(G$1="WŁASNY",VLOOKUP(D26,BUDŻET!H:L,5,0)*100,"błąd")))))</f>
        <v>27</v>
      </c>
      <c r="O26" s="18">
        <f t="shared" si="11"/>
        <v>32.209142954468398</v>
      </c>
      <c r="P26" s="18">
        <f t="shared" si="12"/>
        <v>32.087428638454647</v>
      </c>
      <c r="Q26" s="50">
        <f>IF(G$1="","",IF(G$1="SUPER",VLOOKUP(D26,BUDŻET!B:E,3,0)*100,IF(G$1="SUPER+",VLOOKUP(D26,BUDŻET!B:E,4,0)*100,IF(G$1="CONTACT",VLOOKUP(D26,BUDŻET!B:E,2,0)*100,IF(G$1="WŁASNY",VLOOKUP(D26,BUDŻET!B:F,5,0)*100,"błąd")))))</f>
        <v>2</v>
      </c>
      <c r="R26" s="18">
        <f t="shared" si="13"/>
        <v>2.4168145415921316</v>
      </c>
      <c r="S26" s="68">
        <f t="shared" si="14"/>
        <v>2.1693785190781854</v>
      </c>
      <c r="T26" s="14"/>
      <c r="U26" s="16">
        <f t="shared" si="6"/>
        <v>3993.9799999999991</v>
      </c>
    </row>
    <row r="27" spans="1:21">
      <c r="D27" s="2" t="s">
        <v>10</v>
      </c>
      <c r="E27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370.42</v>
      </c>
      <c r="F27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3218.5</v>
      </c>
      <c r="G27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204.06</v>
      </c>
      <c r="H27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3422.56</v>
      </c>
      <c r="I27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",30-LEN(D:D)),SPRZEDAŻ!B:J,4,0)),VLOOKUP(D:D,SPRZEDAŻ!B:J,4,0)))+IF(ISERROR(VLOOKUP(D27,REP!B:E,4,0))=TRUE,0,VLOOKUP(D27,REP!B:E,4,0))</f>
        <v>2783.61</v>
      </c>
      <c r="J27" s="16">
        <f t="shared" si="9"/>
        <v>434.88999999999987</v>
      </c>
      <c r="K27" s="16">
        <f>IF(ISERROR(VLOOKUP(LEFT(D27,2),PL!A:E,5,0))=TRUE,0,VLOOKUP(LEFT(D27,2),PL!A:E,5,0))</f>
        <v>102.77</v>
      </c>
      <c r="L27" s="16">
        <f t="shared" si="10"/>
        <v>3.0027231078490955</v>
      </c>
      <c r="M27" s="16">
        <f>IF(ISERROR(VLOOKUP(D27,RW!B:E,4,0))=TRUE,0,VLOOKUP(D27,RW!B:E,4,0))</f>
        <v>0</v>
      </c>
      <c r="N27" s="50">
        <f>IF(G$1="","",IF(G$1="SUPER",VLOOKUP(D27,BUDŻET!H:K,3,0)*100,IF(G$1="SUPER+",VLOOKUP(D27,BUDŻET!H:K,4,0)*100,IF(G$1="CONTACT",VLOOKUP(D27,BUDŻET!H:K,2,0)*100,IF(G$1="WŁASNY",VLOOKUP(D27,BUDŻET!H:L,5,0)*100,"błąd")))))</f>
        <v>18</v>
      </c>
      <c r="O27" s="18">
        <f t="shared" si="11"/>
        <v>12.706570520312276</v>
      </c>
      <c r="P27" s="18">
        <f t="shared" si="12"/>
        <v>9.7038474124631815</v>
      </c>
      <c r="Q27" s="50">
        <f>IF(G$1="","",IF(G$1="SUPER",VLOOKUP(D27,BUDŻET!B:E,3,0)*100,IF(G$1="SUPER+",VLOOKUP(D27,BUDŻET!B:E,4,0)*100,IF(G$1="CONTACT",VLOOKUP(D27,BUDŻET!B:E,2,0)*100,IF(G$1="WŁASNY",VLOOKUP(D27,BUDŻET!B:F,5,0)*100,"błąd")))))</f>
        <v>1</v>
      </c>
      <c r="R27" s="18">
        <f t="shared" si="13"/>
        <v>0.66454351728436212</v>
      </c>
      <c r="S27" s="68">
        <f t="shared" si="14"/>
        <v>0.59650685088961786</v>
      </c>
      <c r="T27" s="14"/>
      <c r="U27" s="16">
        <f t="shared" si="6"/>
        <v>332.11999999999989</v>
      </c>
    </row>
    <row r="28" spans="1:21">
      <c r="D28" s="2" t="s">
        <v>11</v>
      </c>
      <c r="E28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1117.8</v>
      </c>
      <c r="F28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28337.88</v>
      </c>
      <c r="G28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1416.89</v>
      </c>
      <c r="H28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29754.77</v>
      </c>
      <c r="I28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",30-LEN(D:D)),SPRZEDAŻ!B:J,4,0)),VLOOKUP(D:D,SPRZEDAŻ!B:J,4,0)))+IF(ISERROR(VLOOKUP(D28,REP!B:E,4,0))=TRUE,0,VLOOKUP(D28,REP!B:E,4,0))</f>
        <v>18047.34</v>
      </c>
      <c r="J28" s="16">
        <f t="shared" si="9"/>
        <v>10290.540000000001</v>
      </c>
      <c r="K28" s="16">
        <f>IF(ISERROR(VLOOKUP(LEFT(D28,2),PL!A:E,5,0))=TRUE,0,VLOOKUP(LEFT(D28,2),PL!A:E,5,0))</f>
        <v>920.84</v>
      </c>
      <c r="L28" s="16">
        <f t="shared" si="10"/>
        <v>3.0947643016565074</v>
      </c>
      <c r="M28" s="16">
        <f>IF(ISERROR(VLOOKUP(D28,RW!B:E,4,0))=TRUE,0,VLOOKUP(D28,RW!B:E,4,0))</f>
        <v>0</v>
      </c>
      <c r="N28" s="50">
        <f>IF(G$1="","",IF(G$1="SUPER",VLOOKUP(D28,BUDŻET!H:K,3,0)*100,IF(G$1="SUPER+",VLOOKUP(D28,BUDŻET!H:K,4,0)*100,IF(G$1="CONTACT",VLOOKUP(D28,BUDŻET!H:K,2,0)*100,IF(G$1="WŁASNY",VLOOKUP(D28,BUDŻET!H:L,5,0)*100,"błąd")))))</f>
        <v>25</v>
      </c>
      <c r="O28" s="18">
        <f t="shared" si="11"/>
        <v>34.584505274280396</v>
      </c>
      <c r="P28" s="18">
        <f t="shared" si="12"/>
        <v>31.489740972623885</v>
      </c>
      <c r="Q28" s="50">
        <f>IF(G$1="","",IF(G$1="SUPER",VLOOKUP(D28,BUDŻET!B:E,3,0)*100,IF(G$1="SUPER+",VLOOKUP(D28,BUDŻET!B:E,4,0)*100,IF(G$1="CONTACT",VLOOKUP(D28,BUDŻET!B:E,2,0)*100,IF(G$1="WŁASNY",VLOOKUP(D28,BUDŻET!B:F,5,0)*100,"błąd")))))</f>
        <v>0.5</v>
      </c>
      <c r="R28" s="18">
        <f t="shared" si="13"/>
        <v>5.7773536510060364</v>
      </c>
      <c r="S28" s="68">
        <f t="shared" si="14"/>
        <v>5.1858620890926312</v>
      </c>
      <c r="T28" s="14"/>
      <c r="U28" s="16">
        <f t="shared" si="6"/>
        <v>9369.7000000000007</v>
      </c>
    </row>
    <row r="29" spans="1:21">
      <c r="D29" s="2" t="s">
        <v>12</v>
      </c>
      <c r="E29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11176.53</v>
      </c>
      <c r="F29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50247.62</v>
      </c>
      <c r="G29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2587.4899999999998</v>
      </c>
      <c r="H29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52835.11</v>
      </c>
      <c r="I29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",30-LEN(D:D)),SPRZEDAŻ!B:J,4,0)),VLOOKUP(D:D,SPRZEDAŻ!B:J,4,0)))+IF(ISERROR(VLOOKUP(D29,REP!B:E,4,0))=TRUE,0,VLOOKUP(D29,REP!B:E,4,0))</f>
        <v>41337.58</v>
      </c>
      <c r="J29" s="16">
        <f t="shared" si="9"/>
        <v>8910.0400000000009</v>
      </c>
      <c r="K29" s="16">
        <f>IF(ISERROR(VLOOKUP(LEFT(D29,2),PL!A:E,5,0))=TRUE,0,VLOOKUP(LEFT(D29,2),PL!A:E,5,0))</f>
        <v>698.43</v>
      </c>
      <c r="L29" s="16">
        <f t="shared" si="10"/>
        <v>1.3219050741069716</v>
      </c>
      <c r="M29" s="16">
        <f>IF(ISERROR(VLOOKUP(D29,RW!B:E,4,0))=TRUE,0,VLOOKUP(D29,RW!B:E,4,0))</f>
        <v>0</v>
      </c>
      <c r="N29" s="50">
        <f>IF(G$1="","",IF(G$1="SUPER",VLOOKUP(D29,BUDŻET!H:K,3,0)*100,IF(G$1="SUPER+",VLOOKUP(D29,BUDŻET!H:K,4,0)*100,IF(G$1="CONTACT",VLOOKUP(D29,BUDŻET!H:K,2,0)*100,IF(G$1="WŁASNY",VLOOKUP(D29,BUDŻET!H:L,5,0)*100,"błąd")))))</f>
        <v>20</v>
      </c>
      <c r="O29" s="18">
        <f t="shared" si="11"/>
        <v>16.863861928176171</v>
      </c>
      <c r="P29" s="18">
        <f t="shared" si="12"/>
        <v>15.541956854069197</v>
      </c>
      <c r="Q29" s="50">
        <f>IF(G$1="","",IF(G$1="SUPER",VLOOKUP(D29,BUDŻET!B:E,3,0)*100,IF(G$1="SUPER+",VLOOKUP(D29,BUDŻET!B:E,4,0)*100,IF(G$1="CONTACT",VLOOKUP(D29,BUDŻET!B:E,2,0)*100,IF(G$1="WŁASNY",VLOOKUP(D29,BUDŻET!B:F,5,0)*100,"błąd")))))</f>
        <v>1</v>
      </c>
      <c r="R29" s="18">
        <f t="shared" si="13"/>
        <v>10.258762398761796</v>
      </c>
      <c r="S29" s="68">
        <f t="shared" si="14"/>
        <v>9.2084594813550549</v>
      </c>
      <c r="T29" s="14"/>
      <c r="U29" s="16">
        <f t="shared" si="6"/>
        <v>8211.61</v>
      </c>
    </row>
    <row r="30" spans="1:21">
      <c r="D30" s="81" t="s">
        <v>84</v>
      </c>
      <c r="E30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306.87</v>
      </c>
      <c r="F30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5601.96</v>
      </c>
      <c r="G30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280.10000000000002</v>
      </c>
      <c r="H30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5882.06</v>
      </c>
      <c r="I30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",30-LEN(D:D)),SPRZEDAŻ!B:J,4,0)),VLOOKUP(D:D,SPRZEDAŻ!B:J,4,0)))+IF(ISERROR(VLOOKUP(D30,REP!B:E,4,0))=TRUE,0,VLOOKUP(D30,REP!B:E,4,0))</f>
        <v>5743.9</v>
      </c>
      <c r="J30" s="16">
        <f t="shared" si="9"/>
        <v>-141.9399999999996</v>
      </c>
      <c r="K30" s="16">
        <f>IF(ISERROR(VLOOKUP(LEFT(D30,2),PL!A:E,5,0))=TRUE,0,VLOOKUP(LEFT(D30,2),PL!A:E,5,0))</f>
        <v>221.15</v>
      </c>
      <c r="L30" s="16">
        <f t="shared" si="10"/>
        <v>3.7597372349142981</v>
      </c>
      <c r="M30" s="16">
        <f>IF(ISERROR(VLOOKUP(D30,RW!B:E,4,0))=TRUE,0,VLOOKUP(D30,RW!B:E,4,0))</f>
        <v>0</v>
      </c>
      <c r="N30" s="50">
        <f>IF(G$1="","",IF(G$1="SUPER",VLOOKUP(D30,BUDŻET!H:K,3,0)*100,IF(G$1="SUPER+",VLOOKUP(D30,BUDŻET!H:K,4,0)*100,IF(G$1="CONTACT",VLOOKUP(D30,BUDŻET!H:K,2,0)*100,IF(G$1="WŁASNY",VLOOKUP(D30,BUDŻET!H:L,5,0)*100,"błąd")))))</f>
        <v>0</v>
      </c>
      <c r="O30" s="18">
        <f t="shared" si="11"/>
        <v>-2.4131001723885781</v>
      </c>
      <c r="P30" s="18">
        <f t="shared" si="12"/>
        <v>-6.1728374073028762</v>
      </c>
      <c r="Q30" s="50">
        <f>IF(G$1="","",IF(G$1="SUPER",VLOOKUP(D30,BUDŻET!B:E,3,0)*100,IF(G$1="SUPER+",VLOOKUP(D30,BUDŻET!B:E,4,0)*100,IF(G$1="CONTACT",VLOOKUP(D30,BUDŻET!B:E,2,0)*100,IF(G$1="WŁASNY",VLOOKUP(D30,BUDŻET!B:F,5,0)*100,"błąd")))))</f>
        <v>0</v>
      </c>
      <c r="R30" s="18">
        <f t="shared" si="13"/>
        <v>1.1420938833147278</v>
      </c>
      <c r="S30" s="68">
        <f t="shared" si="14"/>
        <v>1.0251651066288936</v>
      </c>
      <c r="T30" s="14"/>
      <c r="U30" s="16">
        <f t="shared" si="6"/>
        <v>-363.08999999999958</v>
      </c>
    </row>
    <row r="31" spans="1:21">
      <c r="D31" s="81" t="s">
        <v>85</v>
      </c>
      <c r="E31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0</v>
      </c>
      <c r="F31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0</v>
      </c>
      <c r="G31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0</v>
      </c>
      <c r="H31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0</v>
      </c>
      <c r="I31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",30-LEN(D:D)),SPRZEDAŻ!B:J,4,0)),VLOOKUP(D:D,SPRZEDAŻ!B:J,4,0)))+IF(ISERROR(VLOOKUP(D31,REP!B:E,4,0))=TRUE,0,VLOOKUP(D31,REP!B:E,4,0))</f>
        <v>0</v>
      </c>
      <c r="J31" s="16">
        <f t="shared" si="9"/>
        <v>0</v>
      </c>
      <c r="K31" s="16">
        <f>IF(ISERROR(VLOOKUP(LEFT(D31,2),PL!A:E,5,0))=TRUE,0,VLOOKUP(LEFT(D31,2),PL!A:E,5,0))</f>
        <v>0</v>
      </c>
      <c r="L31" s="16">
        <f t="shared" si="10"/>
        <v>0</v>
      </c>
      <c r="M31" s="16">
        <f>IF(ISERROR(VLOOKUP(D31,RW!B:E,4,0))=TRUE,0,VLOOKUP(D31,RW!B:E,4,0))</f>
        <v>0</v>
      </c>
      <c r="N31" s="50">
        <f>IF(G$1="","",IF(G$1="SUPER",VLOOKUP(D31,BUDŻET!H:K,3,0)*100,IF(G$1="SUPER+",VLOOKUP(D31,BUDŻET!H:K,4,0)*100,IF(G$1="CONTACT",VLOOKUP(D31,BUDŻET!H:K,2,0)*100,IF(G$1="WŁASNY",VLOOKUP(D31,BUDŻET!H:L,5,0)*100,"błąd")))))</f>
        <v>0</v>
      </c>
      <c r="O31" s="18">
        <f t="shared" si="11"/>
        <v>0</v>
      </c>
      <c r="P31" s="18">
        <f t="shared" si="12"/>
        <v>0</v>
      </c>
      <c r="Q31" s="50">
        <f>IF(G$1="","",IF(G$1="SUPER",VLOOKUP(D31,BUDŻET!B:E,3,0)*100,IF(G$1="SUPER+",VLOOKUP(D31,BUDŻET!B:E,4,0)*100,IF(G$1="CONTACT",VLOOKUP(D31,BUDŻET!B:E,2,0)*100,IF(G$1="WŁASNY",VLOOKUP(D31,BUDŻET!B:F,5,0)*100,"błąd")))))</f>
        <v>0</v>
      </c>
      <c r="R31" s="18">
        <f t="shared" si="13"/>
        <v>0</v>
      </c>
      <c r="S31" s="68">
        <f t="shared" si="14"/>
        <v>0</v>
      </c>
      <c r="T31" s="14"/>
      <c r="U31" s="16">
        <f t="shared" si="6"/>
        <v>0</v>
      </c>
    </row>
    <row r="32" spans="1:21">
      <c r="A32" s="27"/>
      <c r="B32" s="27"/>
      <c r="C32" s="27"/>
      <c r="D32" s="27" t="s">
        <v>35</v>
      </c>
      <c r="E32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447.85</v>
      </c>
      <c r="F32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5609.73</v>
      </c>
      <c r="G32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280.49</v>
      </c>
      <c r="H32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5890.21</v>
      </c>
      <c r="I32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",30-LEN(D:D)),SPRZEDAŻ!B:J,4,0)),VLOOKUP(D:D,SPRZEDAŻ!B:J,4,0)))+IF(ISERROR(VLOOKUP(D32,REP!B:E,4,0))=TRUE,0,VLOOKUP(D32,REP!B:E,4,0))</f>
        <v>4004.56</v>
      </c>
      <c r="J32" s="16">
        <f t="shared" si="9"/>
        <v>1605.1699999999996</v>
      </c>
      <c r="K32" s="16">
        <f>IF(ISERROR(VLOOKUP(LEFT(D32,2),PL!A:E,5,0))=TRUE,0,VLOOKUP(LEFT(D32,2),PL!A:E,5,0))</f>
        <v>35.979999999999997</v>
      </c>
      <c r="L32" s="16">
        <f t="shared" si="10"/>
        <v>0.61084409554158503</v>
      </c>
      <c r="M32" s="16">
        <f>IF(ISERROR(VLOOKUP(D32,RW!B:E,4,0))=TRUE,0,VLOOKUP(D32,RW!B:E,4,0))</f>
        <v>0</v>
      </c>
      <c r="N32" s="50">
        <f>IF(G$1="","",IF(G$1="SUPER",VLOOKUP(D32,BUDŻET!H:K,3,0)*100,IF(G$1="SUPER+",VLOOKUP(D32,BUDŻET!H:K,4,0)*100,IF(G$1="CONTACT",VLOOKUP(D32,BUDŻET!H:K,2,0)*100,IF(G$1="WŁASNY",VLOOKUP(D32,BUDŻET!H:L,5,0)*100,"błąd")))))</f>
        <v>23</v>
      </c>
      <c r="O32" s="18">
        <f t="shared" si="11"/>
        <v>27.251490184560478</v>
      </c>
      <c r="P32" s="18">
        <f t="shared" si="12"/>
        <v>26.640646089018887</v>
      </c>
      <c r="Q32" s="50">
        <f>IF(G$1="","",IF(G$1="SUPER",VLOOKUP(D32,BUDŻET!B:E,3,0)*100,IF(G$1="SUPER+",VLOOKUP(D32,BUDŻET!B:E,4,0)*100,IF(G$1="CONTACT",VLOOKUP(D32,BUDŻET!B:E,2,0)*100,IF(G$1="WŁASNY",VLOOKUP(D32,BUDŻET!B:F,5,0)*100,"błąd")))))</f>
        <v>0.5</v>
      </c>
      <c r="R32" s="18">
        <f t="shared" si="13"/>
        <v>1.1436763331960647</v>
      </c>
      <c r="S32" s="69">
        <f t="shared" si="14"/>
        <v>1.02658554362189</v>
      </c>
      <c r="T32" s="14"/>
      <c r="U32" s="16">
        <f t="shared" si="6"/>
        <v>1569.1899999999996</v>
      </c>
    </row>
    <row r="33" spans="1:21">
      <c r="A33" s="28"/>
      <c r="B33" s="28"/>
      <c r="C33" s="29" t="s">
        <v>45</v>
      </c>
      <c r="D33" s="28"/>
      <c r="E33" s="30">
        <f t="shared" ref="E33:M33" si="15">SUM(E23:E32)</f>
        <v>20023.199999999997</v>
      </c>
      <c r="F33" s="31">
        <f t="shared" si="15"/>
        <v>141125.41</v>
      </c>
      <c r="G33" s="31">
        <f t="shared" si="15"/>
        <v>7254.5599999999995</v>
      </c>
      <c r="H33" s="31">
        <f t="shared" si="15"/>
        <v>148379.96</v>
      </c>
      <c r="I33" s="31">
        <f t="shared" si="15"/>
        <v>106373.4</v>
      </c>
      <c r="J33" s="31">
        <f t="shared" si="15"/>
        <v>34752.009999999995</v>
      </c>
      <c r="K33" s="31">
        <f t="shared" si="15"/>
        <v>4015.5</v>
      </c>
      <c r="L33" s="31">
        <f t="shared" ref="L33:L34" si="16">K33/H33*100</f>
        <v>2.7062279838867731</v>
      </c>
      <c r="M33" s="31">
        <f t="shared" si="15"/>
        <v>0</v>
      </c>
      <c r="N33" s="53">
        <f>IF(G$1="","",IF(G$1="SUPER",VLOOKUP(C33,BUDŻET!H:K,3,0)*100,IF(G$1="SUPER+",VLOOKUP(C33,BUDŻET!H:K,4,0)*100,IF(G$1="CONTACT",VLOOKUP(C33,BUDŻET!H:K,2,0)*100,IF(G$1="WŁASNY",VLOOKUP(C33,BUDŻET!H:L,5,0)*100,"błąd")))))</f>
        <v>0</v>
      </c>
      <c r="O33" s="55">
        <f>J33/H33*100</f>
        <v>23.420959272397699</v>
      </c>
      <c r="P33" s="55">
        <f>(J33-K33-M33)/H33*100</f>
        <v>20.714731288510926</v>
      </c>
      <c r="Q33" s="56">
        <f>IF(G$1="","",IF(G$1="SUPER",VLOOKUP(C33,BUDŻET!B:E,3,0)*100,IF(G$1="SUPER+",VLOOKUP(C33,BUDŻET!B:E,4,0)*100,IF(G$1="CONTACT",VLOOKUP(C33,BUDŻET!B:E,2,0)*100,IF(G$1="WŁASNY",VLOOKUP(C33,BUDŻET!B:F,5,0)*100,"błąd")))))</f>
        <v>0</v>
      </c>
      <c r="R33" s="55">
        <f t="shared" si="13"/>
        <v>28.810288355182369</v>
      </c>
      <c r="S33" s="72">
        <f t="shared" si="14"/>
        <v>25.860660638448252</v>
      </c>
      <c r="T33" s="14"/>
      <c r="U33" s="16">
        <f t="shared" si="6"/>
        <v>30736.509999999995</v>
      </c>
    </row>
    <row r="34" spans="1:21">
      <c r="B34" s="23" t="s">
        <v>44</v>
      </c>
      <c r="E34" s="24">
        <f t="shared" ref="E34:M34" si="17">E21+E33</f>
        <v>33392.609999999993</v>
      </c>
      <c r="F34" s="25">
        <f t="shared" si="17"/>
        <v>233099.71000000002</v>
      </c>
      <c r="G34" s="25">
        <f t="shared" si="17"/>
        <v>12142.89</v>
      </c>
      <c r="H34" s="17">
        <f t="shared" si="17"/>
        <v>245242.58</v>
      </c>
      <c r="I34" s="25">
        <f t="shared" si="17"/>
        <v>169796.24</v>
      </c>
      <c r="J34" s="25">
        <f t="shared" si="17"/>
        <v>63303.47</v>
      </c>
      <c r="K34" s="25">
        <f t="shared" si="17"/>
        <v>9783.3299999999981</v>
      </c>
      <c r="L34" s="25">
        <f t="shared" si="16"/>
        <v>3.9892460762727247</v>
      </c>
      <c r="M34" s="25">
        <f t="shared" si="17"/>
        <v>0</v>
      </c>
      <c r="N34" s="50">
        <f>IF(G$1="","",IF(G$1="SUPER",VLOOKUP(B34,BUDŻET!H:K,3,0)*100,IF(G$1="SUPER+",VLOOKUP(B34,BUDŻET!H:K,4,0)*100,IF(G$1="CONTACT",VLOOKUP(B34,BUDŻET!H:K,2,0)*100,IF(G$1="WŁASNY",VLOOKUP(B34,BUDŻET!H:L,5,0)*100,"błąd")))))</f>
        <v>0</v>
      </c>
      <c r="O34" s="18">
        <f>J34/H34*100</f>
        <v>25.812593392224141</v>
      </c>
      <c r="P34" s="18">
        <f>(J34-K34-M34)/H34*100</f>
        <v>21.823347315951416</v>
      </c>
      <c r="Q34" s="50">
        <f>IF(G$1="","",IF(G$1="SUPER",VLOOKUP(B34,BUDŻET!B:E,3,0)*100,IF(G$1="SUPER+",VLOOKUP(B34,BUDŻET!B:E,4,0)*100,IF(G$1="CONTACT",VLOOKUP(B34,BUDŻET!B:E,2,0)*100,IF(G$1="WŁASNY",VLOOKUP(B34,BUDŻET!B:F,5,0)*100,"błąd")))))</f>
        <v>0</v>
      </c>
      <c r="R34" s="18">
        <f t="shared" si="13"/>
        <v>47.617679953336548</v>
      </c>
      <c r="S34" s="70">
        <f t="shared" si="14"/>
        <v>42.742531642935454</v>
      </c>
      <c r="T34" s="14"/>
      <c r="U34" s="16">
        <f t="shared" si="6"/>
        <v>53520.14</v>
      </c>
    </row>
    <row r="35" spans="1:21">
      <c r="B35" s="23"/>
      <c r="E35" s="15"/>
      <c r="F35" s="16"/>
      <c r="G35" s="16"/>
      <c r="H35" s="17"/>
      <c r="I35" s="16"/>
      <c r="J35" s="16"/>
      <c r="K35" s="16"/>
      <c r="L35" s="16"/>
      <c r="M35" s="16"/>
      <c r="N35" s="50"/>
      <c r="O35" s="26"/>
      <c r="P35" s="26"/>
      <c r="Q35" s="52"/>
      <c r="R35" s="26"/>
      <c r="S35" s="71"/>
      <c r="T35" s="14"/>
      <c r="U35" s="16"/>
    </row>
    <row r="36" spans="1:21">
      <c r="B36" s="13" t="s">
        <v>46</v>
      </c>
      <c r="E36" s="15"/>
      <c r="F36" s="16"/>
      <c r="G36" s="16"/>
      <c r="H36" s="17"/>
      <c r="I36" s="16"/>
      <c r="J36" s="16"/>
      <c r="K36" s="16"/>
      <c r="L36" s="16"/>
      <c r="M36" s="16"/>
      <c r="N36" s="50"/>
      <c r="O36" s="26"/>
      <c r="P36" s="26"/>
      <c r="Q36" s="52"/>
      <c r="R36" s="26"/>
      <c r="S36" s="71"/>
      <c r="T36" s="14"/>
      <c r="U36" s="16"/>
    </row>
    <row r="37" spans="1:21">
      <c r="D37" s="2" t="s">
        <v>0</v>
      </c>
      <c r="E37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24651.46</v>
      </c>
      <c r="F37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138207.4</v>
      </c>
      <c r="G37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14457.47</v>
      </c>
      <c r="H37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152664.87</v>
      </c>
      <c r="I37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",30-LEN(D:D)),SPRZEDAŻ!B:J,4,0)),VLOOKUP(D:D,SPRZEDAŻ!B:J,4,0)))+IF(ISERROR(VLOOKUP(D37,REP!B:E,4,0))=TRUE,0,VLOOKUP(D37,REP!B:E,4,0))</f>
        <v>105224.2</v>
      </c>
      <c r="J37" s="16">
        <f t="shared" ref="J37:J49" si="18">F37-I37</f>
        <v>32983.199999999997</v>
      </c>
      <c r="K37" s="16">
        <f>IF(ISERROR(VLOOKUP(LEFT(D37,2),PL!A:E,5,0))=TRUE,0,VLOOKUP(LEFT(D37,2),PL!A:E,5,0))</f>
        <v>896.7</v>
      </c>
      <c r="L37" s="16">
        <f t="shared" ref="L37:L49" si="19">IFERROR(K37/H37*100,0)</f>
        <v>0.58736499104214357</v>
      </c>
      <c r="M37" s="16">
        <f>IF(ISERROR(VLOOKUP(D37,RW!B:E,4,0))=TRUE,0,VLOOKUP(D37,RW!B:E,4,0))</f>
        <v>0</v>
      </c>
      <c r="N37" s="50">
        <f>IF(G$1="","",IF(G$1="SUPER",VLOOKUP(D37,BUDŻET!H:K,3,0)*100,IF(G$1="SUPER+",VLOOKUP(D37,BUDŻET!H:K,4,0)*100,IF(G$1="CONTACT",VLOOKUP(D37,BUDŻET!H:K,2,0)*100,IF(G$1="WŁASNY",VLOOKUP(D37,BUDŻET!H:L,5,0)*100,"błąd")))))</f>
        <v>23</v>
      </c>
      <c r="O37" s="18">
        <f t="shared" ref="O37:O49" si="20">IF(ISERROR(J37/H37*100)=TRUE,0,J37/H37*100)</f>
        <v>21.604970416573241</v>
      </c>
      <c r="P37" s="18">
        <f t="shared" ref="P37:P49" si="21">IF(ISERROR((J37-K37-M37)/H37*100)=TRUE,0,(J37-K37-M37)/H37*100)</f>
        <v>21.017605425531098</v>
      </c>
      <c r="Q37" s="50">
        <f>IF(G$1="","",IF(G$1="SUPER",VLOOKUP(D37,BUDŻET!B:E,3,0)*100,IF(G$1="SUPER+",VLOOKUP(D37,BUDŻET!B:E,4,0)*100,IF(G$1="CONTACT",VLOOKUP(D37,BUDŻET!B:E,2,0)*100,IF(G$1="WŁASNY",VLOOKUP(D37,BUDŻET!B:F,5,0)*100,"błąd")))))</f>
        <v>0.6</v>
      </c>
      <c r="R37" s="18">
        <f t="shared" ref="R37:R50" si="22">H37/H$51*100</f>
        <v>29.642270603162512</v>
      </c>
      <c r="S37" s="68">
        <f t="shared" ref="S37:S51" si="23">H37/H$77*100</f>
        <v>26.60746366613672</v>
      </c>
      <c r="T37" s="14"/>
      <c r="U37" s="16">
        <f t="shared" si="6"/>
        <v>32086.499999999996</v>
      </c>
    </row>
    <row r="38" spans="1:21">
      <c r="D38" s="2" t="s">
        <v>1</v>
      </c>
      <c r="E38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1049</v>
      </c>
      <c r="F38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10665.04</v>
      </c>
      <c r="G38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2334.15</v>
      </c>
      <c r="H38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12999.19</v>
      </c>
      <c r="I38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",30-LEN(D:D)),SPRZEDAŻ!B:J,4,0)),VLOOKUP(D:D,SPRZEDAŻ!B:J,4,0)))+IF(ISERROR(VLOOKUP(D38,REP!B:E,4,0))=TRUE,0,VLOOKUP(D38,REP!B:E,4,0))</f>
        <v>7685.01</v>
      </c>
      <c r="J38" s="16">
        <f t="shared" si="18"/>
        <v>2980.0300000000007</v>
      </c>
      <c r="K38" s="16">
        <f>IF(ISERROR(VLOOKUP(LEFT(D38,2),PL!A:E,5,0))=TRUE,0,VLOOKUP(LEFT(D38,2),PL!A:E,5,0))</f>
        <v>16</v>
      </c>
      <c r="L38" s="16">
        <f t="shared" si="19"/>
        <v>0.1230845921938213</v>
      </c>
      <c r="M38" s="16">
        <f>IF(ISERROR(VLOOKUP(D38,RW!B:E,4,0))=TRUE,0,VLOOKUP(D38,RW!B:E,4,0))</f>
        <v>0</v>
      </c>
      <c r="N38" s="50">
        <f>IF(G$1="","",IF(G$1="SUPER",VLOOKUP(D38,BUDŻET!H:K,3,0)*100,IF(G$1="SUPER+",VLOOKUP(D38,BUDŻET!H:K,4,0)*100,IF(G$1="CONTACT",VLOOKUP(D38,BUDŻET!H:K,2,0)*100,IF(G$1="WŁASNY",VLOOKUP(D38,BUDŻET!H:L,5,0)*100,"błąd")))))</f>
        <v>22</v>
      </c>
      <c r="O38" s="18">
        <f t="shared" si="20"/>
        <v>22.924736079709586</v>
      </c>
      <c r="P38" s="18">
        <f t="shared" si="21"/>
        <v>22.801651487515766</v>
      </c>
      <c r="Q38" s="50">
        <f>IF(G$1="","",IF(G$1="SUPER",VLOOKUP(D38,BUDŻET!B:E,3,0)*100,IF(G$1="SUPER+",VLOOKUP(D38,BUDŻET!B:E,4,0)*100,IF(G$1="CONTACT",VLOOKUP(D38,BUDŻET!B:E,2,0)*100,IF(G$1="WŁASNY",VLOOKUP(D38,BUDŻET!B:F,5,0)*100,"błąd")))))</f>
        <v>0.2</v>
      </c>
      <c r="R38" s="18">
        <f t="shared" si="22"/>
        <v>2.5239959107941736</v>
      </c>
      <c r="S38" s="68">
        <f t="shared" si="23"/>
        <v>2.2655865466246938</v>
      </c>
      <c r="T38" s="14"/>
      <c r="U38" s="16">
        <f t="shared" si="6"/>
        <v>2964.0300000000007</v>
      </c>
    </row>
    <row r="39" spans="1:21">
      <c r="D39" s="2" t="s">
        <v>2</v>
      </c>
      <c r="E39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785</v>
      </c>
      <c r="F39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7677.5300000000007</v>
      </c>
      <c r="G39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1713.26</v>
      </c>
      <c r="H39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9390.7900000000009</v>
      </c>
      <c r="I39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",30-LEN(D:D)),SPRZEDAŻ!B:J,4,0)),VLOOKUP(D:D,SPRZEDAŻ!B:J,4,0)))+IF(ISERROR(VLOOKUP(D39,REP!B:E,4,0))=TRUE,0,VLOOKUP(D39,REP!B:E,4,0))</f>
        <v>5662.14</v>
      </c>
      <c r="J39" s="16">
        <f t="shared" si="18"/>
        <v>2015.3900000000003</v>
      </c>
      <c r="K39" s="16">
        <f>IF(ISERROR(VLOOKUP(LEFT(D39,2),PL!A:E,5,0))=TRUE,0,VLOOKUP(LEFT(D39,2),PL!A:E,5,0))</f>
        <v>127.83</v>
      </c>
      <c r="L39" s="16">
        <f t="shared" si="19"/>
        <v>1.3612273301820186</v>
      </c>
      <c r="M39" s="16">
        <f>IF(ISERROR(VLOOKUP(D39,RW!B:E,4,0))=TRUE,0,VLOOKUP(D39,RW!B:E,4,0))</f>
        <v>0</v>
      </c>
      <c r="N39" s="50">
        <f>IF(G$1="","",IF(G$1="SUPER",VLOOKUP(D39,BUDŻET!H:K,3,0)*100,IF(G$1="SUPER+",VLOOKUP(D39,BUDŻET!H:K,4,0)*100,IF(G$1="CONTACT",VLOOKUP(D39,BUDŻET!H:K,2,0)*100,IF(G$1="WŁASNY",VLOOKUP(D39,BUDŻET!H:L,5,0)*100,"błąd")))))</f>
        <v>22</v>
      </c>
      <c r="O39" s="18">
        <f t="shared" si="20"/>
        <v>21.461346702460602</v>
      </c>
      <c r="P39" s="18">
        <f t="shared" si="21"/>
        <v>20.100119372278584</v>
      </c>
      <c r="Q39" s="50">
        <f>IF(G$1="","",IF(G$1="SUPER",VLOOKUP(D39,BUDŻET!B:E,3,0)*100,IF(G$1="SUPER+",VLOOKUP(D39,BUDŻET!B:E,4,0)*100,IF(G$1="CONTACT",VLOOKUP(D39,BUDŻET!B:E,2,0)*100,IF(G$1="WŁASNY",VLOOKUP(D39,BUDŻET!B:F,5,0)*100,"błąd")))))</f>
        <v>0.2</v>
      </c>
      <c r="R39" s="18">
        <f t="shared" si="22"/>
        <v>1.823368652902744</v>
      </c>
      <c r="S39" s="68">
        <f t="shared" si="23"/>
        <v>1.6366902465598017</v>
      </c>
      <c r="T39" s="14"/>
      <c r="U39" s="16">
        <f t="shared" si="6"/>
        <v>1887.5600000000004</v>
      </c>
    </row>
    <row r="40" spans="1:21">
      <c r="D40" s="2" t="s">
        <v>3</v>
      </c>
      <c r="E40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943</v>
      </c>
      <c r="F40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7504.94</v>
      </c>
      <c r="G40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1377.3</v>
      </c>
      <c r="H40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8882.23</v>
      </c>
      <c r="I40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",30-LEN(D:D)),SPRZEDAŻ!B:J,4,0)),VLOOKUP(D:D,SPRZEDAŻ!B:J,4,0)))+IF(ISERROR(VLOOKUP(D40,REP!B:E,4,0))=TRUE,0,VLOOKUP(D40,REP!B:E,4,0))</f>
        <v>5719.98</v>
      </c>
      <c r="J40" s="16">
        <f t="shared" si="18"/>
        <v>1784.96</v>
      </c>
      <c r="K40" s="16">
        <f>IF(ISERROR(VLOOKUP(LEFT(D40,2),PL!A:E,5,0))=TRUE,0,VLOOKUP(LEFT(D40,2),PL!A:E,5,0))</f>
        <v>0</v>
      </c>
      <c r="L40" s="16">
        <f t="shared" si="19"/>
        <v>0</v>
      </c>
      <c r="M40" s="16">
        <f>IF(ISERROR(VLOOKUP(D40,RW!B:E,4,0))=TRUE,0,VLOOKUP(D40,RW!B:E,4,0))</f>
        <v>0</v>
      </c>
      <c r="N40" s="50">
        <f>IF(G$1="","",IF(G$1="SUPER",VLOOKUP(D40,BUDŻET!H:K,3,0)*100,IF(G$1="SUPER+",VLOOKUP(D40,BUDŻET!H:K,4,0)*100,IF(G$1="CONTACT",VLOOKUP(D40,BUDŻET!H:K,2,0)*100,IF(G$1="WŁASNY",VLOOKUP(D40,BUDŻET!H:L,5,0)*100,"błąd")))))</f>
        <v>23</v>
      </c>
      <c r="O40" s="18">
        <f t="shared" si="20"/>
        <v>20.095854306857628</v>
      </c>
      <c r="P40" s="18">
        <f t="shared" si="21"/>
        <v>20.095854306857628</v>
      </c>
      <c r="Q40" s="50">
        <f>IF(G$1="","",IF(G$1="SUPER",VLOOKUP(D40,BUDŻET!B:E,3,0)*100,IF(G$1="SUPER+",VLOOKUP(D40,BUDŻET!B:E,4,0)*100,IF(G$1="CONTACT",VLOOKUP(D40,BUDŻET!B:E,2,0)*100,IF(G$1="WŁASNY",VLOOKUP(D40,BUDŻET!B:F,5,0)*100,"błąd")))))</f>
        <v>0.2</v>
      </c>
      <c r="R40" s="18">
        <f t="shared" si="22"/>
        <v>1.724623780307337</v>
      </c>
      <c r="S40" s="68">
        <f t="shared" si="23"/>
        <v>1.5480549781968147</v>
      </c>
      <c r="T40" s="14"/>
      <c r="U40" s="16">
        <f t="shared" si="6"/>
        <v>1784.96</v>
      </c>
    </row>
    <row r="41" spans="1:21">
      <c r="D41" s="2" t="s">
        <v>26</v>
      </c>
      <c r="E41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218</v>
      </c>
      <c r="F41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372.61</v>
      </c>
      <c r="G41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29.81</v>
      </c>
      <c r="H41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402.42</v>
      </c>
      <c r="I41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",30-LEN(D:D)),SPRZEDAŻ!B:J,4,0)),VLOOKUP(D:D,SPRZEDAŻ!B:J,4,0)))+IF(ISERROR(VLOOKUP(D41,REP!B:E,4,0))=TRUE,0,VLOOKUP(D41,REP!B:E,4,0))</f>
        <v>479.6</v>
      </c>
      <c r="J41" s="16">
        <f t="shared" si="18"/>
        <v>-106.99000000000001</v>
      </c>
      <c r="K41" s="16">
        <f>IF(ISERROR(VLOOKUP(LEFT(D41,2),PL!A:E,5,0))=TRUE,0,VLOOKUP(LEFT(D41,2),PL!A:E,5,0))</f>
        <v>2.2000000000000002</v>
      </c>
      <c r="L41" s="16">
        <f t="shared" si="19"/>
        <v>0.54669251031260879</v>
      </c>
      <c r="M41" s="16">
        <f>IF(ISERROR(VLOOKUP(D41,RW!B:E,4,0))=TRUE,0,VLOOKUP(D41,RW!B:E,4,0))</f>
        <v>0</v>
      </c>
      <c r="N41" s="50">
        <f>IF(G$1="","",IF(G$1="SUPER",VLOOKUP(D41,BUDŻET!H:K,3,0)*100,IF(G$1="SUPER+",VLOOKUP(D41,BUDŻET!H:K,4,0)*100,IF(G$1="CONTACT",VLOOKUP(D41,BUDŻET!H:K,2,0)*100,IF(G$1="WŁASNY",VLOOKUP(D41,BUDŻET!H:L,5,0)*100,"błąd")))))</f>
        <v>5</v>
      </c>
      <c r="O41" s="18">
        <f t="shared" si="20"/>
        <v>-26.586650762884549</v>
      </c>
      <c r="P41" s="18">
        <f t="shared" si="21"/>
        <v>-27.133343273197159</v>
      </c>
      <c r="Q41" s="50">
        <f>IF(G$1="","",IF(G$1="SUPER",VLOOKUP(D41,BUDŻET!B:E,3,0)*100,IF(G$1="SUPER+",VLOOKUP(D41,BUDŻET!B:E,4,0)*100,IF(G$1="CONTACT",VLOOKUP(D41,BUDŻET!B:E,2,0)*100,IF(G$1="WŁASNY",VLOOKUP(D41,BUDŻET!B:F,5,0)*100,"błąd")))))</f>
        <v>0</v>
      </c>
      <c r="R41" s="18">
        <f t="shared" si="22"/>
        <v>7.8136132668404065E-2</v>
      </c>
      <c r="S41" s="68">
        <f t="shared" si="23"/>
        <v>7.0136472971985886E-2</v>
      </c>
      <c r="T41" s="14"/>
      <c r="U41" s="16">
        <f t="shared" si="6"/>
        <v>-109.19000000000001</v>
      </c>
    </row>
    <row r="42" spans="1:21">
      <c r="D42" s="2" t="s">
        <v>27</v>
      </c>
      <c r="E42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5487</v>
      </c>
      <c r="F42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18398.36</v>
      </c>
      <c r="G42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3209.37</v>
      </c>
      <c r="H42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21607.73</v>
      </c>
      <c r="I42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",30-LEN(D:D)),SPRZEDAŻ!B:J,4,0)),VLOOKUP(D:D,SPRZEDAŻ!B:J,4,0)))+IF(ISERROR(VLOOKUP(D42,REP!B:E,4,0))=TRUE,0,VLOOKUP(D42,REP!B:E,4,0))</f>
        <v>13442.37</v>
      </c>
      <c r="J42" s="16">
        <f t="shared" si="18"/>
        <v>4955.99</v>
      </c>
      <c r="K42" s="16">
        <f>IF(ISERROR(VLOOKUP(LEFT(D42,2),PL!A:E,5,0))=TRUE,0,VLOOKUP(LEFT(D42,2),PL!A:E,5,0))</f>
        <v>18.21</v>
      </c>
      <c r="L42" s="16">
        <f t="shared" si="19"/>
        <v>8.4275395888415858E-2</v>
      </c>
      <c r="M42" s="16">
        <f>IF(ISERROR(VLOOKUP(D42,RW!B:E,4,0))=TRUE,0,VLOOKUP(D42,RW!B:E,4,0))</f>
        <v>0</v>
      </c>
      <c r="N42" s="50">
        <f>IF(G$1="","",IF(G$1="SUPER",VLOOKUP(D42,BUDŻET!H:K,3,0)*100,IF(G$1="SUPER+",VLOOKUP(D42,BUDŻET!H:K,4,0)*100,IF(G$1="CONTACT",VLOOKUP(D42,BUDŻET!H:K,2,0)*100,IF(G$1="WŁASNY",VLOOKUP(D42,BUDŻET!H:L,5,0)*100,"błąd")))))</f>
        <v>20</v>
      </c>
      <c r="O42" s="18">
        <f t="shared" si="20"/>
        <v>22.936189965350362</v>
      </c>
      <c r="P42" s="18">
        <f t="shared" si="21"/>
        <v>22.851914569461947</v>
      </c>
      <c r="Q42" s="50">
        <f>IF(G$1="","",IF(G$1="SUPER",VLOOKUP(D42,BUDŻET!B:E,3,0)*100,IF(G$1="SUPER+",VLOOKUP(D42,BUDŻET!B:E,4,0)*100,IF(G$1="CONTACT",VLOOKUP(D42,BUDŻET!B:E,2,0)*100,IF(G$1="WŁASNY",VLOOKUP(D42,BUDŻET!B:F,5,0)*100,"błąd")))))</f>
        <v>0.3</v>
      </c>
      <c r="R42" s="18">
        <f t="shared" si="22"/>
        <v>4.1954784999330412</v>
      </c>
      <c r="S42" s="68">
        <f t="shared" si="23"/>
        <v>3.7659409848689642</v>
      </c>
      <c r="T42" s="14"/>
      <c r="U42" s="16">
        <f t="shared" si="6"/>
        <v>4937.78</v>
      </c>
    </row>
    <row r="43" spans="1:21">
      <c r="D43" s="2" t="s">
        <v>28</v>
      </c>
      <c r="E43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1181</v>
      </c>
      <c r="F43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5409.29</v>
      </c>
      <c r="G43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339.62</v>
      </c>
      <c r="H43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5748.91</v>
      </c>
      <c r="I43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",30-LEN(D:D)),SPRZEDAŻ!B:J,4,0)),VLOOKUP(D:D,SPRZEDAŻ!B:J,4,0)))+IF(ISERROR(VLOOKUP(D43,REP!B:E,4,0))=TRUE,0,VLOOKUP(D43,REP!B:E,4,0))</f>
        <v>4010.18</v>
      </c>
      <c r="J43" s="16">
        <f t="shared" si="18"/>
        <v>1399.1100000000001</v>
      </c>
      <c r="K43" s="16">
        <f>IF(ISERROR(VLOOKUP(LEFT(D43,2),PL!A:E,5,0))=TRUE,0,VLOOKUP(LEFT(D43,2),PL!A:E,5,0))</f>
        <v>36.47</v>
      </c>
      <c r="L43" s="16">
        <f t="shared" si="19"/>
        <v>0.63438112616130715</v>
      </c>
      <c r="M43" s="16">
        <f>IF(ISERROR(VLOOKUP(D43,RW!B:E,4,0))=TRUE,0,VLOOKUP(D43,RW!B:E,4,0))</f>
        <v>0</v>
      </c>
      <c r="N43" s="50">
        <f>IF(G$1="","",IF(G$1="SUPER",VLOOKUP(D43,BUDŻET!H:K,3,0)*100,IF(G$1="SUPER+",VLOOKUP(D43,BUDŻET!H:K,4,0)*100,IF(G$1="CONTACT",VLOOKUP(D43,BUDŻET!H:K,2,0)*100,IF(G$1="WŁASNY",VLOOKUP(D43,BUDŻET!H:L,5,0)*100,"błąd")))))</f>
        <v>23</v>
      </c>
      <c r="O43" s="18">
        <f t="shared" si="20"/>
        <v>24.336961267440266</v>
      </c>
      <c r="P43" s="18">
        <f t="shared" si="21"/>
        <v>23.702580141278958</v>
      </c>
      <c r="Q43" s="50">
        <f>IF(G$1="","",IF(G$1="SUPER",VLOOKUP(D43,BUDŻET!B:E,3,0)*100,IF(G$1="SUPER+",VLOOKUP(D43,BUDŻET!B:E,4,0)*100,IF(G$1="CONTACT",VLOOKUP(D43,BUDŻET!B:E,2,0)*100,IF(G$1="WŁASNY",VLOOKUP(D43,BUDŻET!B:F,5,0)*100,"błąd")))))</f>
        <v>0.3</v>
      </c>
      <c r="R43" s="18">
        <f t="shared" si="22"/>
        <v>1.1162407297319088</v>
      </c>
      <c r="S43" s="68">
        <f t="shared" si="23"/>
        <v>1.0019588261850292</v>
      </c>
      <c r="T43" s="14"/>
      <c r="U43" s="16">
        <f t="shared" si="6"/>
        <v>1362.64</v>
      </c>
    </row>
    <row r="44" spans="1:21">
      <c r="D44" s="2" t="s">
        <v>29</v>
      </c>
      <c r="E44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3241</v>
      </c>
      <c r="F44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6587.61</v>
      </c>
      <c r="G44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1476.11</v>
      </c>
      <c r="H44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8063.72</v>
      </c>
      <c r="I44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",30-LEN(D:D)),SPRZEDAŻ!B:J,4,0)),VLOOKUP(D:D,SPRZEDAŻ!B:J,4,0)))+IF(ISERROR(VLOOKUP(D44,REP!B:E,4,0))=TRUE,0,VLOOKUP(D44,REP!B:E,4,0))</f>
        <v>5000.6899999999996</v>
      </c>
      <c r="J44" s="16">
        <f t="shared" si="18"/>
        <v>1586.92</v>
      </c>
      <c r="K44" s="16">
        <f>IF(ISERROR(VLOOKUP(LEFT(D44,2),PL!A:E,5,0))=TRUE,0,VLOOKUP(LEFT(D44,2),PL!A:E,5,0))</f>
        <v>0</v>
      </c>
      <c r="L44" s="16">
        <f t="shared" si="19"/>
        <v>0</v>
      </c>
      <c r="M44" s="16">
        <f>IF(ISERROR(VLOOKUP(D44,RW!B:E,4,0))=TRUE,0,VLOOKUP(D44,RW!B:E,4,0))</f>
        <v>0</v>
      </c>
      <c r="N44" s="50">
        <f>IF(G$1="","",IF(G$1="SUPER",VLOOKUP(D44,BUDŻET!H:K,3,0)*100,IF(G$1="SUPER+",VLOOKUP(D44,BUDŻET!H:K,4,0)*100,IF(G$1="CONTACT",VLOOKUP(D44,BUDŻET!H:K,2,0)*100,IF(G$1="WŁASNY",VLOOKUP(D44,BUDŻET!H:L,5,0)*100,"błąd")))))</f>
        <v>18</v>
      </c>
      <c r="O44" s="18">
        <f t="shared" si="20"/>
        <v>19.679750784997495</v>
      </c>
      <c r="P44" s="18">
        <f t="shared" si="21"/>
        <v>19.679750784997495</v>
      </c>
      <c r="Q44" s="50">
        <f>IF(G$1="","",IF(G$1="SUPER",VLOOKUP(D44,BUDŻET!B:E,3,0)*100,IF(G$1="SUPER+",VLOOKUP(D44,BUDŻET!B:E,4,0)*100,IF(G$1="CONTACT",VLOOKUP(D44,BUDŻET!B:E,2,0)*100,IF(G$1="WŁASNY",VLOOKUP(D44,BUDŻET!B:F,5,0)*100,"błąd")))))</f>
        <v>0</v>
      </c>
      <c r="R44" s="18">
        <f t="shared" si="22"/>
        <v>1.5656972708137349</v>
      </c>
      <c r="S44" s="68">
        <f t="shared" si="23"/>
        <v>1.4053995324130562</v>
      </c>
      <c r="T44" s="14"/>
      <c r="U44" s="16">
        <f t="shared" si="6"/>
        <v>1586.92</v>
      </c>
    </row>
    <row r="45" spans="1:21">
      <c r="D45" s="2" t="s">
        <v>30</v>
      </c>
      <c r="E45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3231.58</v>
      </c>
      <c r="F45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15259.46</v>
      </c>
      <c r="G45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3357.67</v>
      </c>
      <c r="H45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18617.13</v>
      </c>
      <c r="I45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",30-LEN(D:D)),SPRZEDAŻ!B:J,4,0)),VLOOKUP(D:D,SPRZEDAŻ!B:J,4,0)))+IF(ISERROR(VLOOKUP(D45,REP!B:E,4,0))=TRUE,0,VLOOKUP(D45,REP!B:E,4,0))</f>
        <v>12971.38</v>
      </c>
      <c r="J45" s="16">
        <f t="shared" si="18"/>
        <v>2288.08</v>
      </c>
      <c r="K45" s="16">
        <f>IF(ISERROR(VLOOKUP(LEFT(D45,2),PL!A:E,5,0))=TRUE,0,VLOOKUP(LEFT(D45,2),PL!A:E,5,0))</f>
        <v>58.14</v>
      </c>
      <c r="L45" s="16">
        <f t="shared" si="19"/>
        <v>0.31229303335154235</v>
      </c>
      <c r="M45" s="16">
        <f>IF(ISERROR(VLOOKUP(D45,RW!B:E,4,0))=TRUE,0,VLOOKUP(D45,RW!B:E,4,0))</f>
        <v>0</v>
      </c>
      <c r="N45" s="50">
        <f>IF(G$1="","",IF(G$1="SUPER",VLOOKUP(D45,BUDŻET!H:K,3,0)*100,IF(G$1="SUPER+",VLOOKUP(D45,BUDŻET!H:K,4,0)*100,IF(G$1="CONTACT",VLOOKUP(D45,BUDŻET!H:K,2,0)*100,IF(G$1="WŁASNY",VLOOKUP(D45,BUDŻET!H:L,5,0)*100,"błąd")))))</f>
        <v>12</v>
      </c>
      <c r="O45" s="18">
        <f t="shared" si="20"/>
        <v>12.290186511025061</v>
      </c>
      <c r="P45" s="18">
        <f t="shared" si="21"/>
        <v>11.977893477673518</v>
      </c>
      <c r="Q45" s="50">
        <f>IF(G$1="","",IF(G$1="SUPER",VLOOKUP(D45,BUDŻET!B:E,3,0)*100,IF(G$1="SUPER+",VLOOKUP(D45,BUDŻET!B:E,4,0)*100,IF(G$1="CONTACT",VLOOKUP(D45,BUDŻET!B:E,2,0)*100,IF(G$1="WŁASNY",VLOOKUP(D45,BUDŻET!B:F,5,0)*100,"błąd")))))</f>
        <v>0.3</v>
      </c>
      <c r="R45" s="18">
        <f t="shared" si="22"/>
        <v>3.6148067680158178</v>
      </c>
      <c r="S45" s="68">
        <f t="shared" si="23"/>
        <v>3.2447190374756416</v>
      </c>
      <c r="T45" s="14"/>
      <c r="U45" s="16">
        <f t="shared" si="6"/>
        <v>2229.94</v>
      </c>
    </row>
    <row r="46" spans="1:21">
      <c r="D46" s="2" t="s">
        <v>31</v>
      </c>
      <c r="E46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200</v>
      </c>
      <c r="F46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4185.54</v>
      </c>
      <c r="G46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932</v>
      </c>
      <c r="H46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5117.54</v>
      </c>
      <c r="I46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",30-LEN(D:D)),SPRZEDAŻ!B:J,4,0)),VLOOKUP(D:D,SPRZEDAŻ!B:J,4,0)))+IF(ISERROR(VLOOKUP(D46,REP!B:E,4,0))=TRUE,0,VLOOKUP(D46,REP!B:E,4,0))</f>
        <v>2862.33</v>
      </c>
      <c r="J46" s="16">
        <f t="shared" si="18"/>
        <v>1323.21</v>
      </c>
      <c r="K46" s="16">
        <f>IF(ISERROR(VLOOKUP(LEFT(D46,2),PL!A:E,5,0))=TRUE,0,VLOOKUP(LEFT(D46,2),PL!A:E,5,0))</f>
        <v>0</v>
      </c>
      <c r="L46" s="16">
        <f t="shared" si="19"/>
        <v>0</v>
      </c>
      <c r="M46" s="16">
        <f>IF(ISERROR(VLOOKUP(D46,RW!B:E,4,0))=TRUE,0,VLOOKUP(D46,RW!B:E,4,0))</f>
        <v>0</v>
      </c>
      <c r="N46" s="50">
        <f>IF(G$1="","",IF(G$1="SUPER",VLOOKUP(D46,BUDŻET!H:K,3,0)*100,IF(G$1="SUPER+",VLOOKUP(D46,BUDŻET!H:K,4,0)*100,IF(G$1="CONTACT",VLOOKUP(D46,BUDŻET!H:K,2,0)*100,IF(G$1="WŁASNY",VLOOKUP(D46,BUDŻET!H:L,5,0)*100,"błąd")))))</f>
        <v>28.000000000000004</v>
      </c>
      <c r="O46" s="18">
        <f t="shared" si="20"/>
        <v>25.856368489547716</v>
      </c>
      <c r="P46" s="18">
        <f t="shared" si="21"/>
        <v>25.856368489547716</v>
      </c>
      <c r="Q46" s="50">
        <f>IF(G$1="","",IF(G$1="SUPER",VLOOKUP(D46,BUDŻET!B:E,3,0)*100,IF(G$1="SUPER+",VLOOKUP(D46,BUDŻET!B:E,4,0)*100,IF(G$1="CONTACT",VLOOKUP(D46,BUDŻET!B:E,2,0)*100,IF(G$1="WŁASNY",VLOOKUP(D46,BUDŻET!B:F,5,0)*100,"błąd")))))</f>
        <v>0</v>
      </c>
      <c r="R46" s="18">
        <f t="shared" si="22"/>
        <v>0.99365037616386997</v>
      </c>
      <c r="S46" s="68">
        <f t="shared" si="23"/>
        <v>0.89191940234843359</v>
      </c>
      <c r="T46" s="14"/>
      <c r="U46" s="16">
        <f t="shared" si="6"/>
        <v>1323.21</v>
      </c>
    </row>
    <row r="47" spans="1:21">
      <c r="D47" s="2" t="s">
        <v>32</v>
      </c>
      <c r="E47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51</v>
      </c>
      <c r="F47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1345.93</v>
      </c>
      <c r="G47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309.56</v>
      </c>
      <c r="H47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1655.49</v>
      </c>
      <c r="I47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",30-LEN(D:D)),SPRZEDAŻ!B:J,4,0)),VLOOKUP(D:D,SPRZEDAŻ!B:J,4,0)))+IF(ISERROR(VLOOKUP(D47,REP!B:E,4,0))=TRUE,0,VLOOKUP(D47,REP!B:E,4,0))</f>
        <v>702.57</v>
      </c>
      <c r="J47" s="16">
        <f t="shared" si="18"/>
        <v>643.36</v>
      </c>
      <c r="K47" s="16">
        <f>IF(ISERROR(VLOOKUP(LEFT(D47,2),PL!A:E,5,0))=TRUE,0,VLOOKUP(LEFT(D47,2),PL!A:E,5,0))</f>
        <v>0</v>
      </c>
      <c r="L47" s="16">
        <f t="shared" si="19"/>
        <v>0</v>
      </c>
      <c r="M47" s="16">
        <f>IF(ISERROR(VLOOKUP(D47,RW!B:E,4,0))=TRUE,0,VLOOKUP(D47,RW!B:E,4,0))</f>
        <v>0</v>
      </c>
      <c r="N47" s="50">
        <f>IF(G$1="","",IF(G$1="SUPER",VLOOKUP(D47,BUDŻET!H:K,3,0)*100,IF(G$1="SUPER+",VLOOKUP(D47,BUDŻET!H:K,4,0)*100,IF(G$1="CONTACT",VLOOKUP(D47,BUDŻET!H:K,2,0)*100,IF(G$1="WŁASNY",VLOOKUP(D47,BUDŻET!H:L,5,0)*100,"błąd")))))</f>
        <v>25</v>
      </c>
      <c r="O47" s="18">
        <f t="shared" si="20"/>
        <v>38.862209980126735</v>
      </c>
      <c r="P47" s="18">
        <f t="shared" si="21"/>
        <v>38.862209980126735</v>
      </c>
      <c r="Q47" s="50">
        <f>IF(G$1="","",IF(G$1="SUPER",VLOOKUP(D47,BUDŻET!B:E,3,0)*100,IF(G$1="SUPER+",VLOOKUP(D47,BUDŻET!B:E,4,0)*100,IF(G$1="CONTACT",VLOOKUP(D47,BUDŻET!B:E,2,0)*100,IF(G$1="WŁASNY",VLOOKUP(D47,BUDŻET!B:F,5,0)*100,"błąd")))))</f>
        <v>0</v>
      </c>
      <c r="R47" s="18">
        <f t="shared" si="22"/>
        <v>0.3214392581661355</v>
      </c>
      <c r="S47" s="68">
        <f t="shared" si="23"/>
        <v>0.28852996779581763</v>
      </c>
      <c r="T47" s="14"/>
      <c r="U47" s="16">
        <f t="shared" si="6"/>
        <v>643.36</v>
      </c>
    </row>
    <row r="48" spans="1:21">
      <c r="D48" s="81" t="s">
        <v>81</v>
      </c>
      <c r="E48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33</v>
      </c>
      <c r="F48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673.71999999999991</v>
      </c>
      <c r="G48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154.94999999999999</v>
      </c>
      <c r="H48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828.67</v>
      </c>
      <c r="I48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",30-LEN(D:D)),SPRZEDAŻ!B:J,4,0)),VLOOKUP(D:D,SPRZEDAŻ!B:J,4,0)))+IF(ISERROR(VLOOKUP(D48,REP!B:E,4,0))=TRUE,0,VLOOKUP(D48,REP!B:E,4,0))</f>
        <v>515.92999999999995</v>
      </c>
      <c r="J48" s="16">
        <f t="shared" si="18"/>
        <v>157.78999999999996</v>
      </c>
      <c r="K48" s="16">
        <f>IF(ISERROR(VLOOKUP(LEFT(D48,2),PL!A:E,5,0))=TRUE,0,VLOOKUP(LEFT(D48,2),PL!A:E,5,0))</f>
        <v>0</v>
      </c>
      <c r="L48" s="16">
        <f t="shared" si="19"/>
        <v>0</v>
      </c>
      <c r="M48" s="16">
        <f>IF(ISERROR(VLOOKUP(D48,RW!B:E,4,0))=TRUE,0,VLOOKUP(D48,RW!B:E,4,0))</f>
        <v>0</v>
      </c>
      <c r="N48" s="50">
        <f>IF(G$1="","",IF(G$1="SUPER",VLOOKUP(D48,BUDŻET!H:K,3,0)*100,IF(G$1="SUPER+",VLOOKUP(D48,BUDŻET!H:K,4,0)*100,IF(G$1="CONTACT",VLOOKUP(D48,BUDŻET!H:K,2,0)*100,IF(G$1="WŁASNY",VLOOKUP(D48,BUDŻET!H:L,5,0)*100,"błąd")))))</f>
        <v>20</v>
      </c>
      <c r="O48" s="18">
        <f t="shared" si="20"/>
        <v>19.041355424958063</v>
      </c>
      <c r="P48" s="18">
        <f t="shared" si="21"/>
        <v>19.041355424958063</v>
      </c>
      <c r="Q48" s="50">
        <f>IF(G$1="","",IF(G$1="SUPER",VLOOKUP(D48,BUDŻET!B:E,3,0)*100,IF(G$1="SUPER+",VLOOKUP(D48,BUDŻET!B:E,4,0)*100,IF(G$1="CONTACT",VLOOKUP(D48,BUDŻET!B:E,2,0)*100,IF(G$1="WŁASNY",VLOOKUP(D48,BUDŻET!B:F,5,0)*100,"błąd")))))</f>
        <v>0</v>
      </c>
      <c r="R48" s="18">
        <f t="shared" si="22"/>
        <v>0.16089923229045872</v>
      </c>
      <c r="S48" s="68">
        <f t="shared" si="23"/>
        <v>0.14442619913944521</v>
      </c>
      <c r="T48" s="14"/>
      <c r="U48" s="16">
        <f t="shared" si="6"/>
        <v>157.78999999999996</v>
      </c>
    </row>
    <row r="49" spans="1:21">
      <c r="A49" s="27"/>
      <c r="B49" s="27"/>
      <c r="C49" s="27"/>
      <c r="D49" s="27" t="s">
        <v>33</v>
      </c>
      <c r="E49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626</v>
      </c>
      <c r="F49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19351.98</v>
      </c>
      <c r="G49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4450.96</v>
      </c>
      <c r="H49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23802.94</v>
      </c>
      <c r="I49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",30-LEN(D:D)),SPRZEDAŻ!B:J,4,0)),VLOOKUP(D:D,SPRZEDAŻ!B:J,4,0)))+IF(ISERROR(VLOOKUP(D49,REP!B:E,4,0))=TRUE,0,VLOOKUP(D49,REP!B:E,4,0))</f>
        <v>16122.39</v>
      </c>
      <c r="J49" s="16">
        <f t="shared" si="18"/>
        <v>3229.59</v>
      </c>
      <c r="K49" s="16">
        <f>IF(ISERROR(VLOOKUP(LEFT(D49,2),PL!A:E,5,0))=TRUE,0,VLOOKUP(LEFT(D49,2),PL!A:E,5,0))</f>
        <v>0</v>
      </c>
      <c r="L49" s="16">
        <f t="shared" si="19"/>
        <v>0</v>
      </c>
      <c r="M49" s="16">
        <f>IF(ISERROR(VLOOKUP(D49,RW!B:E,4,0))=TRUE,0,VLOOKUP(D49,RW!B:E,4,0))</f>
        <v>0</v>
      </c>
      <c r="N49" s="50">
        <f>IF(G$1="","",IF(G$1="SUPER",VLOOKUP(D49,BUDŻET!H:K,3,0)*100,IF(G$1="SUPER+",VLOOKUP(D49,BUDŻET!H:K,4,0)*100,IF(G$1="CONTACT",VLOOKUP(D49,BUDŻET!H:K,2,0)*100,IF(G$1="WŁASNY",VLOOKUP(D49,BUDŻET!H:L,5,0)*100,"błąd")))))</f>
        <v>12</v>
      </c>
      <c r="O49" s="18">
        <f t="shared" si="20"/>
        <v>13.568029831609039</v>
      </c>
      <c r="P49" s="18">
        <f t="shared" si="21"/>
        <v>13.568029831609039</v>
      </c>
      <c r="Q49" s="50">
        <f>IF(G$1="","",IF(G$1="SUPER",VLOOKUP(D49,BUDŻET!B:E,3,0)*100,IF(G$1="SUPER+",VLOOKUP(D49,BUDŻET!B:E,4,0)*100,IF(G$1="CONTACT",VLOOKUP(D49,BUDŻET!B:E,2,0)*100,IF(G$1="WŁASNY",VLOOKUP(D49,BUDŻET!B:F,5,0)*100,"błąd")))))</f>
        <v>0</v>
      </c>
      <c r="R49" s="18">
        <f t="shared" si="22"/>
        <v>4.6217128317132889</v>
      </c>
      <c r="S49" s="69">
        <f t="shared" si="23"/>
        <v>4.1485369960832008</v>
      </c>
      <c r="T49" s="14"/>
      <c r="U49" s="16">
        <f t="shared" si="6"/>
        <v>3229.59</v>
      </c>
    </row>
    <row r="50" spans="1:21">
      <c r="A50" s="28"/>
      <c r="B50" s="29" t="s">
        <v>47</v>
      </c>
      <c r="C50" s="28"/>
      <c r="D50" s="28"/>
      <c r="E50" s="30">
        <f t="shared" ref="E50:J50" si="24">SUM(E37:E49)</f>
        <v>41697.040000000001</v>
      </c>
      <c r="F50" s="31">
        <f t="shared" si="24"/>
        <v>235639.41</v>
      </c>
      <c r="G50" s="31">
        <f t="shared" si="24"/>
        <v>34142.229999999996</v>
      </c>
      <c r="H50" s="31">
        <f t="shared" si="24"/>
        <v>269781.63000000006</v>
      </c>
      <c r="I50" s="31">
        <f t="shared" si="24"/>
        <v>180398.76999999996</v>
      </c>
      <c r="J50" s="31">
        <f t="shared" si="24"/>
        <v>55240.639999999999</v>
      </c>
      <c r="K50" s="31">
        <f>SUM(K37:K49)</f>
        <v>1155.5500000000002</v>
      </c>
      <c r="L50" s="31">
        <f t="shared" ref="L50:L51" si="25">K50/H50*100</f>
        <v>0.42832790357149225</v>
      </c>
      <c r="M50" s="31">
        <f>SUM(M37:M49)</f>
        <v>0</v>
      </c>
      <c r="N50" s="53">
        <f>IF(G$1="","",IF(G$1="SUPER",VLOOKUP(B50,BUDŻET!H:K,3,0)*100,IF(G$1="SUPER+",VLOOKUP(B50,BUDŻET!H:K,4,0)*100,IF(G$1="CONTACT",VLOOKUP(B50,BUDŻET!H:K,2,0)*100,IF(G$1="WŁASNY",VLOOKUP(B50,BUDŻET!H:L,5,0)*100,"błąd")))))</f>
        <v>0</v>
      </c>
      <c r="O50" s="55">
        <f>J50/H50*100</f>
        <v>20.476056876074175</v>
      </c>
      <c r="P50" s="55">
        <f>(J50-K50-M50)/H50*100</f>
        <v>20.047728972502682</v>
      </c>
      <c r="Q50" s="53">
        <f>IF(G$1="","",IF(G$1="SUPER",VLOOKUP(B50,BUDŻET!B:E,3,0)*100,IF(G$1="SUPER+",VLOOKUP(B50,BUDŻET!B:E,4,0)*100,IF(G$1="CONTACT",VLOOKUP(B50,BUDŻET!B:E,2,0)*100,IF(G$1="WŁASNY",VLOOKUP(B50,BUDŻET!B:F,5,0)*100,"błąd")))))</f>
        <v>0</v>
      </c>
      <c r="R50" s="55">
        <f t="shared" si="22"/>
        <v>52.382320046663445</v>
      </c>
      <c r="S50" s="72">
        <f t="shared" si="23"/>
        <v>47.019362856799617</v>
      </c>
      <c r="T50" s="14"/>
      <c r="U50" s="16">
        <f t="shared" si="6"/>
        <v>54085.09</v>
      </c>
    </row>
    <row r="51" spans="1:21">
      <c r="A51" s="23" t="s">
        <v>48</v>
      </c>
      <c r="B51" s="23"/>
      <c r="E51" s="24">
        <f t="shared" ref="E51:J51" si="26">E34+E50</f>
        <v>75089.649999999994</v>
      </c>
      <c r="F51" s="25">
        <f t="shared" si="26"/>
        <v>468739.12</v>
      </c>
      <c r="G51" s="25">
        <f t="shared" si="26"/>
        <v>46285.119999999995</v>
      </c>
      <c r="H51" s="17">
        <f t="shared" si="26"/>
        <v>515024.21000000008</v>
      </c>
      <c r="I51" s="25">
        <f t="shared" si="26"/>
        <v>350195.00999999995</v>
      </c>
      <c r="J51" s="25">
        <f t="shared" si="26"/>
        <v>118544.11</v>
      </c>
      <c r="K51" s="25">
        <f>K34+K50</f>
        <v>10938.879999999997</v>
      </c>
      <c r="L51" s="25">
        <f t="shared" si="25"/>
        <v>2.1239545224485652</v>
      </c>
      <c r="M51" s="25">
        <f>M34+M50</f>
        <v>0</v>
      </c>
      <c r="N51" s="50">
        <f>IF(G$1="","",IF(G$1="SUPER",VLOOKUP(A51,BUDŻET!H:K,3,0)*100,IF(G$1="SUPER+",VLOOKUP(A51,BUDŻET!H:K,4,0)*100,IF(G$1="CONTACT",VLOOKUP(A51,BUDŻET!H:K,2,0)*100,IF(G$1="WŁASNY",VLOOKUP(A51,BUDŻET!H:L,5,0)*100,"błąd")))))</f>
        <v>0</v>
      </c>
      <c r="O51" s="18">
        <f>J51/H51*100</f>
        <v>23.017191754927403</v>
      </c>
      <c r="P51" s="18">
        <f>(J51-K51-M51)/H51*100</f>
        <v>20.893237232478835</v>
      </c>
      <c r="Q51" s="50">
        <f>IF(G$1="","",IF(G$1="SUPER",VLOOKUP(A51,BUDŻET!B:E,3,0)*100,IF(G$1="SUPER+",VLOOKUP(A51,BUDŻET!B:E,4,0)*100,IF(G$1="CONTACT",VLOOKUP(A51,BUDŻET!B:E,2,0)*100,IF(G$1="WŁASNY",VLOOKUP(A51,BUDŻET!B:F,5,0)*100,"błąd")))))</f>
        <v>0</v>
      </c>
      <c r="R51" s="18">
        <f>R34+R50</f>
        <v>100</v>
      </c>
      <c r="S51" s="70">
        <f t="shared" si="23"/>
        <v>89.761894499735078</v>
      </c>
      <c r="T51" s="14"/>
      <c r="U51" s="16">
        <f t="shared" si="6"/>
        <v>107605.23000000001</v>
      </c>
    </row>
    <row r="52" spans="1:21">
      <c r="A52" s="23"/>
      <c r="B52" s="23"/>
      <c r="H52" s="17"/>
      <c r="N52" s="52"/>
      <c r="O52" s="26"/>
      <c r="P52" s="26"/>
      <c r="Q52" s="52"/>
      <c r="R52" s="26"/>
      <c r="S52" s="71"/>
      <c r="T52" s="14"/>
      <c r="U52" s="16"/>
    </row>
    <row r="53" spans="1:21">
      <c r="A53" s="13" t="s">
        <v>49</v>
      </c>
      <c r="B53" s="23"/>
      <c r="H53" s="17"/>
      <c r="N53" s="52"/>
      <c r="O53" s="26"/>
      <c r="P53" s="26"/>
      <c r="Q53" s="52"/>
      <c r="R53" s="26"/>
      <c r="S53" s="71"/>
      <c r="T53" s="14"/>
      <c r="U53" s="16"/>
    </row>
    <row r="54" spans="1:21">
      <c r="D54" s="2" t="s">
        <v>36</v>
      </c>
      <c r="E54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1</v>
      </c>
      <c r="F54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16.25</v>
      </c>
      <c r="G54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3.74</v>
      </c>
      <c r="H54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19.989999999999998</v>
      </c>
      <c r="I54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",30-LEN(D:D)),SPRZEDAŻ!B:J,4,0)),VLOOKUP(D:D,SPRZEDAŻ!B:J,4,0)))+IF(ISERROR(VLOOKUP(D54,REP!B:E,4,0))=TRUE,0,VLOOKUP(D54,REP!B:E,4,0))</f>
        <v>8.7899999999999991</v>
      </c>
      <c r="J54" s="16">
        <f t="shared" ref="J54:J63" si="27">F54-I54</f>
        <v>7.4600000000000009</v>
      </c>
      <c r="K54" s="16">
        <f>IF(ISERROR(VLOOKUP(LEFT(D54,2),PL!A:E,5,0))=TRUE,0,VLOOKUP(LEFT(D54,2),PL!A:E,5,0))</f>
        <v>0</v>
      </c>
      <c r="L54" s="16">
        <f t="shared" ref="L54:L65" si="28">IFERROR(K54/H54*100,0)</f>
        <v>0</v>
      </c>
      <c r="M54" s="16">
        <f>IF(ISERROR(VLOOKUP(D54,RW!B:E,4,0))=TRUE,0,VLOOKUP(D54,RW!B:E,4,0))</f>
        <v>0</v>
      </c>
      <c r="N54" s="50">
        <f>IF(G$1="","",IF(G$1="SUPER",VLOOKUP(D54,BUDŻET!H:K,3,0)*100,IF(G$1="SUPER+",VLOOKUP(D54,BUDŻET!H:K,4,0)*100,IF(G$1="CONTACT",VLOOKUP(D54,BUDŻET!H:K,2,0)*100,IF(G$1="WŁASNY",VLOOKUP(D54,BUDŻET!H:L,5,0)*100,"błąd")))))</f>
        <v>0</v>
      </c>
      <c r="O54" s="18">
        <f t="shared" ref="O54:O63" si="29">IF(ISERROR(J54/H54*100)=TRUE,0,J54/H54*100)</f>
        <v>37.31865932966484</v>
      </c>
      <c r="P54" s="18">
        <f t="shared" ref="P54:P63" si="30">IF(ISERROR((J54-K54-M54)/H54*100)=TRUE,0,(J54-K54-M54)/H54*100)</f>
        <v>37.31865932966484</v>
      </c>
      <c r="Q54" s="50">
        <f>IF(G$1="","",IF(G$1="SUPER",VLOOKUP(D54,BUDŻET!B:E,3,0)*100,IF(G$1="SUPER+",VLOOKUP(D54,BUDŻET!B:E,4,0)*100,IF(G$1="CONTACT",VLOOKUP(D54,BUDŻET!B:E,2,0)*100,IF(G$1="WŁASNY",VLOOKUP(D54,BUDŻET!B:F,5,0)*100,"błąd")))))</f>
        <v>0</v>
      </c>
      <c r="R54" s="18">
        <f>H54/H$66*100</f>
        <v>4.9382203681456877E-2</v>
      </c>
      <c r="S54" s="68">
        <f t="shared" ref="S54:S66" si="31">H54/H$77*100</f>
        <v>3.483992084662785E-3</v>
      </c>
      <c r="T54" s="14"/>
      <c r="U54" s="16">
        <f t="shared" si="6"/>
        <v>7.4600000000000009</v>
      </c>
    </row>
    <row r="55" spans="1:21">
      <c r="D55" s="2" t="s">
        <v>19</v>
      </c>
      <c r="E55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0</v>
      </c>
      <c r="F55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0</v>
      </c>
      <c r="G55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0</v>
      </c>
      <c r="H55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0</v>
      </c>
      <c r="I55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",30-LEN(D:D)),SPRZEDAŻ!B:J,4,0)),VLOOKUP(D:D,SPRZEDAŻ!B:J,4,0)))+IF(ISERROR(VLOOKUP(D55,REP!B:E,4,0))=TRUE,0,VLOOKUP(D55,REP!B:E,4,0))</f>
        <v>0</v>
      </c>
      <c r="J55" s="16">
        <f t="shared" si="27"/>
        <v>0</v>
      </c>
      <c r="K55" s="16">
        <f>IF(ISERROR(VLOOKUP(LEFT(D55,2),PL!A:E,5,0))=TRUE,0,VLOOKUP(LEFT(D55,2),PL!A:E,5,0))</f>
        <v>0</v>
      </c>
      <c r="L55" s="16">
        <f t="shared" si="28"/>
        <v>0</v>
      </c>
      <c r="M55" s="16">
        <f>IF(ISERROR(VLOOKUP(D55,RW!B:E,4,0))=TRUE,0,VLOOKUP(D55,RW!B:E,4,0))</f>
        <v>0</v>
      </c>
      <c r="N55" s="50">
        <f>IF(G$1="","",IF(G$1="SUPER",VLOOKUP(D55,BUDŻET!H:K,3,0)*100,IF(G$1="SUPER+",VLOOKUP(D55,BUDŻET!H:K,4,0)*100,IF(G$1="CONTACT",VLOOKUP(D55,BUDŻET!H:K,2,0)*100,IF(G$1="WŁASNY",VLOOKUP(D55,BUDŻET!H:L,5,0)*100,"błąd")))))</f>
        <v>35</v>
      </c>
      <c r="O55" s="18">
        <f t="shared" si="29"/>
        <v>0</v>
      </c>
      <c r="P55" s="18">
        <f t="shared" si="30"/>
        <v>0</v>
      </c>
      <c r="Q55" s="50">
        <f>IF(G$1="","",IF(G$1="SUPER",VLOOKUP(D55,BUDŻET!B:E,3,0)*100,IF(G$1="SUPER+",VLOOKUP(D55,BUDŻET!B:E,4,0)*100,IF(G$1="CONTACT",VLOOKUP(D55,BUDŻET!B:E,2,0)*100,IF(G$1="WŁASNY",VLOOKUP(D55,BUDŻET!B:F,5,0)*100,"błąd")))))</f>
        <v>0</v>
      </c>
      <c r="R55" s="18">
        <f t="shared" ref="R55:R63" si="32">H55/H$66*100</f>
        <v>0</v>
      </c>
      <c r="S55" s="68">
        <f t="shared" si="31"/>
        <v>0</v>
      </c>
      <c r="T55" s="14"/>
      <c r="U55" s="16">
        <f t="shared" si="6"/>
        <v>0</v>
      </c>
    </row>
    <row r="56" spans="1:21">
      <c r="D56" s="2" t="s">
        <v>37</v>
      </c>
      <c r="E56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0</v>
      </c>
      <c r="F56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0</v>
      </c>
      <c r="G56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0</v>
      </c>
      <c r="H56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0</v>
      </c>
      <c r="I56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",30-LEN(D:D)),SPRZEDAŻ!B:J,4,0)),VLOOKUP(D:D,SPRZEDAŻ!B:J,4,0)))+IF(ISERROR(VLOOKUP(D56,REP!B:E,4,0))=TRUE,0,VLOOKUP(D56,REP!B:E,4,0))</f>
        <v>0</v>
      </c>
      <c r="J56" s="16">
        <f t="shared" si="27"/>
        <v>0</v>
      </c>
      <c r="K56" s="16">
        <f>IF(ISERROR(VLOOKUP(LEFT(D56,2),PL!A:E,5,0))=TRUE,0,VLOOKUP(LEFT(D56,2),PL!A:E,5,0))</f>
        <v>0</v>
      </c>
      <c r="L56" s="16">
        <f t="shared" si="28"/>
        <v>0</v>
      </c>
      <c r="M56" s="16">
        <f>IF(ISERROR(VLOOKUP(D56,RW!B:E,4,0))=TRUE,0,VLOOKUP(D56,RW!B:E,4,0))</f>
        <v>0</v>
      </c>
      <c r="N56" s="50">
        <f>IF(G$1="","",IF(G$1="SUPER",VLOOKUP(D56,BUDŻET!H:K,3,0)*100,IF(G$1="SUPER+",VLOOKUP(D56,BUDŻET!H:K,4,0)*100,IF(G$1="CONTACT",VLOOKUP(D56,BUDŻET!H:K,2,0)*100,IF(G$1="WŁASNY",VLOOKUP(D56,BUDŻET!H:L,5,0)*100,"błąd")))))</f>
        <v>35</v>
      </c>
      <c r="O56" s="18">
        <f t="shared" si="29"/>
        <v>0</v>
      </c>
      <c r="P56" s="18">
        <f t="shared" si="30"/>
        <v>0</v>
      </c>
      <c r="Q56" s="50">
        <f>IF(G$1="","",IF(G$1="SUPER",VLOOKUP(D56,BUDŻET!B:E,3,0)*100,IF(G$1="SUPER+",VLOOKUP(D56,BUDŻET!B:E,4,0)*100,IF(G$1="CONTACT",VLOOKUP(D56,BUDŻET!B:E,2,0)*100,IF(G$1="WŁASNY",VLOOKUP(D56,BUDŻET!B:F,5,0)*100,"błąd")))))</f>
        <v>0</v>
      </c>
      <c r="R56" s="18">
        <f t="shared" si="32"/>
        <v>0</v>
      </c>
      <c r="S56" s="68">
        <f t="shared" si="31"/>
        <v>0</v>
      </c>
      <c r="T56" s="14"/>
      <c r="U56" s="16">
        <f t="shared" si="6"/>
        <v>0</v>
      </c>
    </row>
    <row r="57" spans="1:21">
      <c r="D57" s="2" t="s">
        <v>20</v>
      </c>
      <c r="E57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19</v>
      </c>
      <c r="F57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121.63999999999999</v>
      </c>
      <c r="G57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9.67</v>
      </c>
      <c r="H57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131.31</v>
      </c>
      <c r="I57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",30-LEN(D:D)),SPRZEDAŻ!B:J,4,0)),VLOOKUP(D:D,SPRZEDAŻ!B:J,4,0)))+IF(ISERROR(VLOOKUP(D57,REP!B:E,4,0))=TRUE,0,VLOOKUP(D57,REP!B:E,4,0))</f>
        <v>73.599999999999994</v>
      </c>
      <c r="J57" s="16">
        <f t="shared" si="27"/>
        <v>48.039999999999992</v>
      </c>
      <c r="K57" s="16">
        <f>IF(ISERROR(VLOOKUP(LEFT(D57,2),PL!A:E,5,0))=TRUE,0,VLOOKUP(LEFT(D57,2),PL!A:E,5,0))</f>
        <v>0</v>
      </c>
      <c r="L57" s="16">
        <f t="shared" si="28"/>
        <v>0</v>
      </c>
      <c r="M57" s="16">
        <f>IF(ISERROR(VLOOKUP(D57,RW!B:E,4,0))=TRUE,0,VLOOKUP(D57,RW!B:E,4,0))</f>
        <v>0</v>
      </c>
      <c r="N57" s="50">
        <f>IF(G$1="","",IF(G$1="SUPER",VLOOKUP(D57,BUDŻET!H:K,3,0)*100,IF(G$1="SUPER+",VLOOKUP(D57,BUDŻET!H:K,4,0)*100,IF(G$1="CONTACT",VLOOKUP(D57,BUDŻET!H:K,2,0)*100,IF(G$1="WŁASNY",VLOOKUP(D57,BUDŻET!H:L,5,0)*100,"błąd")))))</f>
        <v>35</v>
      </c>
      <c r="O57" s="18">
        <f t="shared" si="29"/>
        <v>36.585180108141039</v>
      </c>
      <c r="P57" s="18">
        <f t="shared" si="30"/>
        <v>36.585180108141039</v>
      </c>
      <c r="Q57" s="50">
        <f>IF(G$1="","",IF(G$1="SUPER",VLOOKUP(D57,BUDŻET!B:E,3,0)*100,IF(G$1="SUPER+",VLOOKUP(D57,BUDŻET!B:E,4,0)*100,IF(G$1="CONTACT",VLOOKUP(D57,BUDŻET!B:E,2,0)*100,IF(G$1="WŁASNY",VLOOKUP(D57,BUDŻET!B:F,5,0)*100,"błąd")))))</f>
        <v>0</v>
      </c>
      <c r="R57" s="18">
        <f t="shared" si="32"/>
        <v>0.32438104879500262</v>
      </c>
      <c r="S57" s="68">
        <f t="shared" si="31"/>
        <v>2.2885592828267649E-2</v>
      </c>
      <c r="T57" s="14"/>
      <c r="U57" s="16">
        <f t="shared" si="6"/>
        <v>48.039999999999992</v>
      </c>
    </row>
    <row r="58" spans="1:21">
      <c r="D58" s="2" t="s">
        <v>21</v>
      </c>
      <c r="E58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372</v>
      </c>
      <c r="F58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5666.69</v>
      </c>
      <c r="G58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1303.3399999999999</v>
      </c>
      <c r="H58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6970.03</v>
      </c>
      <c r="I58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",30-LEN(D:D)),SPRZEDAŻ!B:J,4,0)),VLOOKUP(D:D,SPRZEDAŻ!B:J,4,0)))+IF(ISERROR(VLOOKUP(D58,REP!B:E,4,0))=TRUE,0,VLOOKUP(D58,REP!B:E,4,0))</f>
        <v>3550.2</v>
      </c>
      <c r="J58" s="16">
        <f t="shared" si="27"/>
        <v>2116.4899999999998</v>
      </c>
      <c r="K58" s="16">
        <f>IF(ISERROR(VLOOKUP(LEFT(D58,2),PL!A:E,5,0))=TRUE,0,VLOOKUP(LEFT(D58,2),PL!A:E,5,0))</f>
        <v>0</v>
      </c>
      <c r="L58" s="16">
        <f t="shared" si="28"/>
        <v>0</v>
      </c>
      <c r="M58" s="16">
        <f>IF(ISERROR(VLOOKUP(D58,RW!B:E,4,0))=TRUE,0,VLOOKUP(D58,RW!B:E,4,0))</f>
        <v>0</v>
      </c>
      <c r="N58" s="50">
        <f>IF(G$1="","",IF(G$1="SUPER",VLOOKUP(D58,BUDŻET!H:K,3,0)*100,IF(G$1="SUPER+",VLOOKUP(D58,BUDŻET!H:K,4,0)*100,IF(G$1="CONTACT",VLOOKUP(D58,BUDŻET!H:K,2,0)*100,IF(G$1="WŁASNY",VLOOKUP(D58,BUDŻET!H:L,5,0)*100,"błąd")))))</f>
        <v>35</v>
      </c>
      <c r="O58" s="18">
        <f t="shared" si="29"/>
        <v>30.365579488180106</v>
      </c>
      <c r="P58" s="18">
        <f t="shared" si="30"/>
        <v>30.365579488180106</v>
      </c>
      <c r="Q58" s="50">
        <f>IF(G$1="","",IF(G$1="SUPER",VLOOKUP(D58,BUDŻET!B:E,3,0)*100,IF(G$1="SUPER+",VLOOKUP(D58,BUDŻET!B:E,4,0)*100,IF(G$1="CONTACT",VLOOKUP(D58,BUDŻET!B:E,2,0)*100,IF(G$1="WŁASNY",VLOOKUP(D58,BUDŻET!B:F,5,0)*100,"błąd")))))</f>
        <v>0</v>
      </c>
      <c r="R58" s="18">
        <f t="shared" si="32"/>
        <v>17.218381246916699</v>
      </c>
      <c r="S58" s="68">
        <f t="shared" si="31"/>
        <v>1.2147838594228189</v>
      </c>
      <c r="T58" s="14"/>
      <c r="U58" s="16">
        <f t="shared" si="6"/>
        <v>2116.4899999999998</v>
      </c>
    </row>
    <row r="59" spans="1:21">
      <c r="D59" s="32" t="s">
        <v>22</v>
      </c>
      <c r="E59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1012.66</v>
      </c>
      <c r="F59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9152.57</v>
      </c>
      <c r="G59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2028.01</v>
      </c>
      <c r="H59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11180.58</v>
      </c>
      <c r="I59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",30-LEN(D:D)),SPRZEDAŻ!B:J,4,0)),VLOOKUP(D:D,SPRZEDAŻ!B:J,4,0)))+IF(ISERROR(VLOOKUP(D59,REP!B:E,4,0))=TRUE,0,VLOOKUP(D59,REP!B:E,4,0))</f>
        <v>5778.86</v>
      </c>
      <c r="J59" s="16">
        <f t="shared" si="27"/>
        <v>3373.71</v>
      </c>
      <c r="K59" s="16">
        <f>IF(ISERROR(VLOOKUP(LEFT(D59,2),PL!A:E,5,0))=TRUE,0,VLOOKUP(LEFT(D59,2),PL!A:E,5,0))</f>
        <v>6.1</v>
      </c>
      <c r="L59" s="16">
        <f t="shared" si="28"/>
        <v>5.4558886927154042E-2</v>
      </c>
      <c r="M59" s="16">
        <f>IF(ISERROR(VLOOKUP(D59,RW!B:E,4,0))=TRUE,0,VLOOKUP(D59,RW!B:E,4,0))</f>
        <v>0</v>
      </c>
      <c r="N59" s="50">
        <f>IF(G$1="","",IF(G$1="SUPER",VLOOKUP(D59,BUDŻET!H:K,3,0)*100,IF(G$1="SUPER+",VLOOKUP(D59,BUDŻET!H:K,4,0)*100,IF(G$1="CONTACT",VLOOKUP(D59,BUDŻET!H:K,2,0)*100,IF(G$1="WŁASNY",VLOOKUP(D59,BUDŻET!H:L,5,0)*100,"błąd")))))</f>
        <v>31</v>
      </c>
      <c r="O59" s="18">
        <f t="shared" si="29"/>
        <v>30.174731543444079</v>
      </c>
      <c r="P59" s="18">
        <f t="shared" si="30"/>
        <v>30.120172656516925</v>
      </c>
      <c r="Q59" s="50">
        <f>IF(G$1="","",IF(G$1="SUPER",VLOOKUP(D59,BUDŻET!B:E,3,0)*100,IF(G$1="SUPER+",VLOOKUP(D59,BUDŻET!B:E,4,0)*100,IF(G$1="CONTACT",VLOOKUP(D59,BUDŻET!B:E,2,0)*100,IF(G$1="WŁASNY",VLOOKUP(D59,BUDŻET!B:F,5,0)*100,"błąd")))))</f>
        <v>0</v>
      </c>
      <c r="R59" s="18">
        <f t="shared" si="32"/>
        <v>27.619893888785548</v>
      </c>
      <c r="S59" s="68">
        <f t="shared" si="31"/>
        <v>1.9486269245592314</v>
      </c>
      <c r="T59" s="14"/>
      <c r="U59" s="16">
        <f t="shared" si="6"/>
        <v>3367.61</v>
      </c>
    </row>
    <row r="60" spans="1:21">
      <c r="D60" s="2" t="s">
        <v>23</v>
      </c>
      <c r="E60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189</v>
      </c>
      <c r="F60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2013.91</v>
      </c>
      <c r="G60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426.41</v>
      </c>
      <c r="H60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2440.33</v>
      </c>
      <c r="I60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",30-LEN(D:D)),SPRZEDAŻ!B:J,4,0)),VLOOKUP(D:D,SPRZEDAŻ!B:J,4,0)))+IF(ISERROR(VLOOKUP(D60,REP!B:E,4,0))=TRUE,0,VLOOKUP(D60,REP!B:E,4,0))</f>
        <v>1304.22</v>
      </c>
      <c r="J60" s="16">
        <f t="shared" si="27"/>
        <v>709.69</v>
      </c>
      <c r="K60" s="16">
        <f>IF(ISERROR(VLOOKUP(LEFT(D60,2),PL!A:E,5,0))=TRUE,0,VLOOKUP(LEFT(D60,2),PL!A:E,5,0))</f>
        <v>0</v>
      </c>
      <c r="L60" s="16">
        <f t="shared" si="28"/>
        <v>0</v>
      </c>
      <c r="M60" s="16">
        <f>IF(ISERROR(VLOOKUP(D60,RW!B:E,4,0))=TRUE,0,VLOOKUP(D60,RW!B:E,4,0))</f>
        <v>0</v>
      </c>
      <c r="N60" s="50">
        <f>IF(G$1="","",IF(G$1="SUPER",VLOOKUP(D60,BUDŻET!H:K,3,0)*100,IF(G$1="SUPER+",VLOOKUP(D60,BUDŻET!H:K,4,0)*100,IF(G$1="CONTACT",VLOOKUP(D60,BUDŻET!H:K,2,0)*100,IF(G$1="WŁASNY",VLOOKUP(D60,BUDŻET!H:L,5,0)*100,"błąd")))))</f>
        <v>33</v>
      </c>
      <c r="O60" s="18">
        <f t="shared" si="29"/>
        <v>29.08172255391689</v>
      </c>
      <c r="P60" s="18">
        <f t="shared" si="30"/>
        <v>29.08172255391689</v>
      </c>
      <c r="Q60" s="50">
        <f>IF(G$1="","",IF(G$1="SUPER",VLOOKUP(D60,BUDŻET!B:E,3,0)*100,IF(G$1="SUPER+",VLOOKUP(D60,BUDŻET!B:E,4,0)*100,IF(G$1="CONTACT",VLOOKUP(D60,BUDŻET!B:E,2,0)*100,IF(G$1="WŁASNY",VLOOKUP(D60,BUDŻET!B:F,5,0)*100,"błąd")))))</f>
        <v>0</v>
      </c>
      <c r="R60" s="18">
        <f t="shared" si="32"/>
        <v>6.0284578844407033</v>
      </c>
      <c r="S60" s="68">
        <f t="shared" si="31"/>
        <v>0.42531717878765052</v>
      </c>
      <c r="T60" s="14"/>
      <c r="U60" s="16">
        <f t="shared" si="6"/>
        <v>709.69</v>
      </c>
    </row>
    <row r="61" spans="1:21">
      <c r="D61" s="2" t="s">
        <v>24</v>
      </c>
      <c r="E61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193</v>
      </c>
      <c r="F61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1634.78</v>
      </c>
      <c r="G61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175.68</v>
      </c>
      <c r="H61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1810.46</v>
      </c>
      <c r="I61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",30-LEN(D:D)),SPRZEDAŻ!B:J,4,0)),VLOOKUP(D:D,SPRZEDAŻ!B:J,4,0)))+IF(ISERROR(VLOOKUP(D61,REP!B:E,4,0))=TRUE,0,VLOOKUP(D61,REP!B:E,4,0))</f>
        <v>1221.49</v>
      </c>
      <c r="J61" s="16">
        <f t="shared" si="27"/>
        <v>413.28999999999996</v>
      </c>
      <c r="K61" s="16">
        <f>IF(ISERROR(VLOOKUP(LEFT(D61,2),PL!A:E,5,0))=TRUE,0,VLOOKUP(LEFT(D61,2),PL!A:E,5,0))</f>
        <v>0</v>
      </c>
      <c r="L61" s="16">
        <f t="shared" si="28"/>
        <v>0</v>
      </c>
      <c r="M61" s="16">
        <f>IF(ISERROR(VLOOKUP(D61,RW!B:E,4,0))=TRUE,0,VLOOKUP(D61,RW!B:E,4,0))</f>
        <v>0</v>
      </c>
      <c r="N61" s="50">
        <f>IF(G$1="","",IF(G$1="SUPER",VLOOKUP(D61,BUDŻET!H:K,3,0)*100,IF(G$1="SUPER+",VLOOKUP(D61,BUDŻET!H:K,4,0)*100,IF(G$1="CONTACT",VLOOKUP(D61,BUDŻET!H:K,2,0)*100,IF(G$1="WŁASNY",VLOOKUP(D61,BUDŻET!H:L,5,0)*100,"błąd")))))</f>
        <v>25</v>
      </c>
      <c r="O61" s="18">
        <f t="shared" si="29"/>
        <v>22.827900091689401</v>
      </c>
      <c r="P61" s="18">
        <f t="shared" si="30"/>
        <v>22.827900091689401</v>
      </c>
      <c r="Q61" s="50">
        <f>IF(G$1="","",IF(G$1="SUPER",VLOOKUP(D61,BUDŻET!B:E,3,0)*100,IF(G$1="SUPER+",VLOOKUP(D61,BUDŻET!B:E,4,0)*100,IF(G$1="CONTACT",VLOOKUP(D61,BUDŻET!B:E,2,0)*100,IF(G$1="WŁASNY",VLOOKUP(D61,BUDŻET!B:F,5,0)*100,"błąd")))))</f>
        <v>0</v>
      </c>
      <c r="R61" s="18">
        <f t="shared" si="32"/>
        <v>4.4724614545838124</v>
      </c>
      <c r="S61" s="68">
        <f t="shared" si="31"/>
        <v>0.31553918507246553</v>
      </c>
      <c r="T61" s="14"/>
      <c r="U61" s="16">
        <f t="shared" si="6"/>
        <v>413.28999999999996</v>
      </c>
    </row>
    <row r="62" spans="1:21">
      <c r="D62" s="81" t="s">
        <v>80</v>
      </c>
      <c r="E62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0</v>
      </c>
      <c r="F62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0</v>
      </c>
      <c r="G62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0</v>
      </c>
      <c r="H62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0</v>
      </c>
      <c r="I62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",30-LEN(D:D)),SPRZEDAŻ!B:J,4,0)),VLOOKUP(D:D,SPRZEDAŻ!B:J,4,0)))+IF(ISERROR(VLOOKUP(D62,REP!B:E,4,0))=TRUE,0,VLOOKUP(D62,REP!B:E,4,0))</f>
        <v>0</v>
      </c>
      <c r="J62" s="16">
        <f t="shared" si="27"/>
        <v>0</v>
      </c>
      <c r="K62" s="16">
        <f>IF(ISERROR(VLOOKUP(LEFT(D62,2),PL!A:E,5,0))=TRUE,0,VLOOKUP(LEFT(D62,2),PL!A:E,5,0))</f>
        <v>0</v>
      </c>
      <c r="L62" s="16">
        <f t="shared" si="28"/>
        <v>0</v>
      </c>
      <c r="M62" s="16">
        <f>IF(ISERROR(VLOOKUP(D62,RW!B:E,4,0))=TRUE,0,VLOOKUP(D62,RW!B:E,4,0))</f>
        <v>0</v>
      </c>
      <c r="N62" s="50">
        <f>IF(G$1="","",IF(G$1="SUPER",VLOOKUP(D62,BUDŻET!H:K,3,0)*100,IF(G$1="SUPER+",VLOOKUP(D62,BUDŻET!H:K,4,0)*100,IF(G$1="CONTACT",VLOOKUP(D62,BUDŻET!H:K,2,0)*100,IF(G$1="WŁASNY",VLOOKUP(D62,BUDŻET!H:L,5,0)*100,"błąd")))))</f>
        <v>0</v>
      </c>
      <c r="O62" s="18">
        <f t="shared" si="29"/>
        <v>0</v>
      </c>
      <c r="P62" s="18">
        <f t="shared" si="30"/>
        <v>0</v>
      </c>
      <c r="Q62" s="50">
        <f>IF(G$1="","",IF(G$1="SUPER",VLOOKUP(D62,BUDŻET!B:E,3,0)*100,IF(G$1="SUPER+",VLOOKUP(D62,BUDŻET!B:E,4,0)*100,IF(G$1="CONTACT",VLOOKUP(D62,BUDŻET!B:E,2,0)*100,IF(G$1="WŁASNY",VLOOKUP(D62,BUDŻET!B:F,5,0)*100,"błąd")))))</f>
        <v>0</v>
      </c>
      <c r="R62" s="18">
        <f t="shared" si="32"/>
        <v>0</v>
      </c>
      <c r="S62" s="68">
        <f t="shared" si="31"/>
        <v>0</v>
      </c>
      <c r="T62" s="14"/>
      <c r="U62" s="16">
        <f t="shared" si="6"/>
        <v>0</v>
      </c>
    </row>
    <row r="63" spans="1:21">
      <c r="A63" s="84"/>
      <c r="B63" s="84"/>
      <c r="C63" s="84"/>
      <c r="D63" s="84" t="s">
        <v>25</v>
      </c>
      <c r="E63" s="8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2086</v>
      </c>
      <c r="F63" s="8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1736.47</v>
      </c>
      <c r="G63" s="8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399.39</v>
      </c>
      <c r="H63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2135.86</v>
      </c>
      <c r="I63" s="8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",30-LEN(D:D)),SPRZEDAŻ!B:J,4,0)),VLOOKUP(D:D,SPRZEDAŻ!B:J,4,0)))+IF(ISERROR(VLOOKUP(D63,REP!B:E,4,0))=TRUE,0,VLOOKUP(D63,REP!B:E,4,0))</f>
        <v>859.74</v>
      </c>
      <c r="J63" s="86">
        <f t="shared" si="27"/>
        <v>876.73</v>
      </c>
      <c r="K63" s="16">
        <f>IF(ISERROR(VLOOKUP(LEFT(D63,2),PL!A:E,5,0))=TRUE,0,VLOOKUP(LEFT(D63,2),PL!A:E,5,0))</f>
        <v>0</v>
      </c>
      <c r="L63" s="16">
        <f t="shared" si="28"/>
        <v>0</v>
      </c>
      <c r="M63" s="16">
        <f>IF(ISERROR(VLOOKUP(D63,RW!B:E,4,0))=TRUE,0,VLOOKUP(D63,RW!B:E,4,0))</f>
        <v>0</v>
      </c>
      <c r="N63" s="50">
        <f>IF(G$1="","",IF(G$1="SUPER",VLOOKUP(D63,BUDŻET!H:K,3,0)*100,IF(G$1="SUPER+",VLOOKUP(D63,BUDŻET!H:K,4,0)*100,IF(G$1="CONTACT",VLOOKUP(D63,BUDŻET!H:K,2,0)*100,IF(G$1="WŁASNY",VLOOKUP(D63,BUDŻET!H:L,5,0)*100,"błąd")))))</f>
        <v>0</v>
      </c>
      <c r="O63" s="18">
        <f t="shared" si="29"/>
        <v>41.048102403715596</v>
      </c>
      <c r="P63" s="18">
        <f t="shared" si="30"/>
        <v>41.048102403715596</v>
      </c>
      <c r="Q63" s="50">
        <f>IF(G$1="","",IF(G$1="SUPER",VLOOKUP(D63,BUDŻET!B:E,3,0)*100,IF(G$1="SUPER+",VLOOKUP(D63,BUDŻET!B:E,4,0)*100,IF(G$1="CONTACT",VLOOKUP(D63,BUDŻET!B:E,2,0)*100,IF(G$1="WŁASNY",VLOOKUP(D63,BUDŻET!B:F,5,0)*100,"błąd")))))</f>
        <v>0</v>
      </c>
      <c r="R63" s="18">
        <f t="shared" si="32"/>
        <v>5.2763118336706594</v>
      </c>
      <c r="S63" s="68">
        <f t="shared" si="31"/>
        <v>0.3722520927437647</v>
      </c>
      <c r="T63" s="14"/>
      <c r="U63" s="16">
        <f t="shared" si="6"/>
        <v>876.73</v>
      </c>
    </row>
    <row r="64" spans="1:21">
      <c r="A64" s="84"/>
      <c r="B64" s="84"/>
      <c r="C64" s="84"/>
      <c r="D64" s="94" t="s">
        <v>82</v>
      </c>
      <c r="E64" s="8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2118</v>
      </c>
      <c r="F64" s="8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12212.08</v>
      </c>
      <c r="G64" s="8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2805.45</v>
      </c>
      <c r="H64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15017.52</v>
      </c>
      <c r="I64" s="8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",30-LEN(D:D)),SPRZEDAŻ!B:J,4,0)),VLOOKUP(D:D,SPRZEDAŻ!B:J,4,0)))+IF(ISERROR(VLOOKUP(D64,REP!B:E,4,0))=TRUE,0,VLOOKUP(D64,REP!B:E,4,0))</f>
        <v>7211.85</v>
      </c>
      <c r="J64" s="86">
        <f>F64-I64</f>
        <v>5000.2299999999996</v>
      </c>
      <c r="K64" s="16">
        <f>IF(ISERROR(VLOOKUP(LEFT(D64,2),PL!A:E,5,0))=TRUE,0,VLOOKUP(LEFT(D64,2),PL!A:E,5,0))</f>
        <v>0</v>
      </c>
      <c r="L64" s="16">
        <f t="shared" si="28"/>
        <v>0</v>
      </c>
      <c r="M64" s="16">
        <f>IF(ISERROR(VLOOKUP(D64,RW!B:E,4,0))=TRUE,0,VLOOKUP(D64,RW!B:E,4,0))</f>
        <v>0</v>
      </c>
      <c r="N64" s="50">
        <f>IF(G$1="","",IF(G$1="SUPER",VLOOKUP(D64,BUDŻET!H:K,3,0)*100,IF(G$1="SUPER+",VLOOKUP(D64,BUDŻET!H:K,4,0)*100,IF(G$1="CONTACT",VLOOKUP(D64,BUDŻET!H:K,2,0)*100,IF(G$1="WŁASNY",VLOOKUP(D64,BUDŻET!H:L,5,0)*100,"błąd")))))</f>
        <v>0</v>
      </c>
      <c r="O64" s="18">
        <f>IF(ISERROR(J64/H64*100)=TRUE,0,J64/H64*100)</f>
        <v>33.29597696557088</v>
      </c>
      <c r="P64" s="18">
        <f>IF(ISERROR((J64-K64-M64)/H64*100)=TRUE,0,(J64-K64-M64)/H64*100)</f>
        <v>33.29597696557088</v>
      </c>
      <c r="Q64" s="50">
        <f>IF(G$1="","",IF(G$1="SUPER",VLOOKUP(D64,BUDŻET!B:E,3,0)*100,IF(G$1="SUPER+",VLOOKUP(D64,BUDŻET!B:E,4,0)*100,IF(G$1="CONTACT",VLOOKUP(D64,BUDŻET!B:E,2,0)*100,IF(G$1="WŁASNY",VLOOKUP(D64,BUDŻET!B:F,5,0)*100,"błąd")))))</f>
        <v>0</v>
      </c>
      <c r="R64" s="18">
        <f>H64/H$66*100</f>
        <v>37.09846080191857</v>
      </c>
      <c r="S64" s="68">
        <f>H64/H$77*100</f>
        <v>2.6173547179222147</v>
      </c>
      <c r="T64" s="14"/>
      <c r="U64" s="16">
        <f t="shared" si="6"/>
        <v>5000.2299999999996</v>
      </c>
    </row>
    <row r="65" spans="1:21">
      <c r="A65" s="84"/>
      <c r="B65" s="84"/>
      <c r="C65" s="84"/>
      <c r="D65" s="94" t="s">
        <v>83</v>
      </c>
      <c r="E65" s="8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91</v>
      </c>
      <c r="F65" s="8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678.96</v>
      </c>
      <c r="G65" s="8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95.13</v>
      </c>
      <c r="H65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774.09</v>
      </c>
      <c r="I65" s="8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",30-LEN(D:D)),SPRZEDAŻ!B:J,4,0)),VLOOKUP(D:D,SPRZEDAŻ!B:J,4,0)))+IF(ISERROR(VLOOKUP(D65,REP!B:E,4,0))=TRUE,0,VLOOKUP(D65,REP!B:E,4,0))</f>
        <v>443.75</v>
      </c>
      <c r="J65" s="86">
        <f>F65-I65</f>
        <v>235.21000000000004</v>
      </c>
      <c r="K65" s="16">
        <f>IF(ISERROR(VLOOKUP(LEFT(D65,2),PL!A:E,5,0))=TRUE,0,VLOOKUP(LEFT(D65,2),PL!A:E,5,0))</f>
        <v>0</v>
      </c>
      <c r="L65" s="16">
        <f t="shared" si="28"/>
        <v>0</v>
      </c>
      <c r="M65" s="16">
        <f>IF(ISERROR(VLOOKUP(D65,RW!B:E,4,0))=TRUE,0,VLOOKUP(D65,RW!B:E,4,0))</f>
        <v>0</v>
      </c>
      <c r="N65" s="50">
        <f>IF(G$1="","",IF(G$1="SUPER",VLOOKUP(D65,BUDŻET!H:K,3,0)*100,IF(G$1="SUPER+",VLOOKUP(D65,BUDŻET!H:K,4,0)*100,IF(G$1="CONTACT",VLOOKUP(D65,BUDŻET!H:K,2,0)*100,IF(G$1="WŁASNY",VLOOKUP(D65,BUDŻET!H:L,5,0)*100,"błąd")))))</f>
        <v>0</v>
      </c>
      <c r="O65" s="18">
        <f>IF(ISERROR(J65/H65*100)=TRUE,0,J65/H65*100)</f>
        <v>30.385355707992613</v>
      </c>
      <c r="P65" s="18">
        <f>IF(ISERROR((J65-K65-M65)/H65*100)=TRUE,0,(J65-K65-M65)/H65*100)</f>
        <v>30.385355707992613</v>
      </c>
      <c r="Q65" s="50">
        <f>IF(G$1="","",IF(G$1="SUPER",VLOOKUP(D65,BUDŻET!B:E,3,0)*100,IF(G$1="SUPER+",VLOOKUP(D65,BUDŻET!B:E,4,0)*100,IF(G$1="CONTACT",VLOOKUP(D65,BUDŻET!B:E,2,0)*100,IF(G$1="WŁASNY",VLOOKUP(D65,BUDŻET!B:F,5,0)*100,"błąd")))))</f>
        <v>0</v>
      </c>
      <c r="R65" s="18">
        <f>H65/H$66*100</f>
        <v>1.9122696372075514</v>
      </c>
      <c r="S65" s="68">
        <f>H65/H$77*100</f>
        <v>0.13491362845505828</v>
      </c>
      <c r="T65" s="14"/>
      <c r="U65" s="16">
        <f t="shared" si="6"/>
        <v>235.21000000000004</v>
      </c>
    </row>
    <row r="66" spans="1:21">
      <c r="A66" s="87" t="s">
        <v>50</v>
      </c>
      <c r="B66" s="88"/>
      <c r="C66" s="88"/>
      <c r="D66" s="88"/>
      <c r="E66" s="89">
        <f t="shared" ref="E66:M66" si="33">SUM(E54:E65)</f>
        <v>6081.66</v>
      </c>
      <c r="F66" s="90">
        <f t="shared" si="33"/>
        <v>33233.35</v>
      </c>
      <c r="G66" s="90">
        <f t="shared" si="33"/>
        <v>7246.82</v>
      </c>
      <c r="H66" s="90">
        <f t="shared" si="33"/>
        <v>40480.17</v>
      </c>
      <c r="I66" s="90">
        <f t="shared" si="33"/>
        <v>20452.5</v>
      </c>
      <c r="J66" s="90">
        <f t="shared" si="33"/>
        <v>12780.849999999999</v>
      </c>
      <c r="K66" s="90">
        <f t="shared" si="33"/>
        <v>6.1</v>
      </c>
      <c r="L66" s="90">
        <f t="shared" ref="L66" si="34">K66/H66*100</f>
        <v>1.5069106676182437E-2</v>
      </c>
      <c r="M66" s="90">
        <f t="shared" si="33"/>
        <v>0</v>
      </c>
      <c r="N66" s="91">
        <f>IF(G$1="","",IF(G$1="SUPER",VLOOKUP(A66,BUDŻET!H:K,3,0)*100,IF(G$1="SUPER+",VLOOKUP(A66,BUDŻET!H:K,4,0)*100,IF(G$1="CONTACT",VLOOKUP(A66,BUDŻET!H:K,2,0)*100,IF(G$1="WŁASNY",VLOOKUP(A66,BUDŻET!H:L,5,0)*100,"błąd")))))</f>
        <v>0</v>
      </c>
      <c r="O66" s="92">
        <f>J66/H66*100</f>
        <v>31.573113452833816</v>
      </c>
      <c r="P66" s="92">
        <f>(J66-K66-M66)/H66*100</f>
        <v>31.558044346157633</v>
      </c>
      <c r="Q66" s="91">
        <f>IF(G$1="","",IF(G$1="SUPER",VLOOKUP(A66,BUDŻET!B:E,3,0)*100,IF(G$1="SUPER+",VLOOKUP(A66,BUDŻET!B:E,4,0)*100,IF(G$1="CONTACT",VLOOKUP(A66,BUDŻET!B:E,2,0)*100,IF(G$1="WŁASNY",VLOOKUP(A66,BUDŻET!B:F,5,0)*100,"błąd")))))</f>
        <v>0</v>
      </c>
      <c r="R66" s="93">
        <f>SUM(R54:R65)</f>
        <v>100.00000000000001</v>
      </c>
      <c r="S66" s="73">
        <f t="shared" si="31"/>
        <v>7.0551571718761332</v>
      </c>
      <c r="T66" s="14"/>
      <c r="U66" s="16">
        <f t="shared" si="6"/>
        <v>12774.749999999998</v>
      </c>
    </row>
    <row r="67" spans="1:21">
      <c r="A67" s="13"/>
      <c r="H67" s="17"/>
      <c r="N67" s="52"/>
      <c r="O67" s="26"/>
      <c r="P67" s="26"/>
      <c r="Q67" s="52"/>
      <c r="R67" s="26"/>
      <c r="S67" s="71"/>
      <c r="T67" s="14"/>
      <c r="U67" s="16"/>
    </row>
    <row r="68" spans="1:21">
      <c r="A68" s="13" t="s">
        <v>51</v>
      </c>
      <c r="H68" s="17"/>
      <c r="N68" s="52"/>
      <c r="O68" s="26"/>
      <c r="P68" s="26"/>
      <c r="Q68" s="52"/>
      <c r="R68" s="26"/>
      <c r="S68" s="71"/>
      <c r="T68" s="14"/>
      <c r="U68" s="16"/>
    </row>
    <row r="69" spans="1:21">
      <c r="A69" s="27"/>
      <c r="B69" s="27"/>
      <c r="C69" s="27"/>
      <c r="D69" s="83" t="s">
        <v>194</v>
      </c>
      <c r="E69" s="58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688</v>
      </c>
      <c r="F69" s="20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11126.01</v>
      </c>
      <c r="G69" s="20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2297.34</v>
      </c>
      <c r="H69" s="59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13423.35</v>
      </c>
      <c r="I69" s="20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",30-LEN(D:D)),SPRZEDAŻ!B:J,4,0)),VLOOKUP(D:D,SPRZEDAŻ!B:J,4,0)))+IF(ISERROR(VLOOKUP(D69,REP!B:E,4,0))=TRUE,0,VLOOKUP(D69,REP!B:E,4,0))</f>
        <v>9857.9500000000007</v>
      </c>
      <c r="J69" s="20">
        <f>F69-I69</f>
        <v>1268.0599999999995</v>
      </c>
      <c r="K69" s="20">
        <f>IF(ISERROR(VLOOKUP(LEFT(D69,2),PL!A:E,5,0))=TRUE,0,VLOOKUP(LEFT(D69,2),PL!A:E,5,0))</f>
        <v>0</v>
      </c>
      <c r="L69" s="20">
        <f t="shared" ref="L69" si="35">IFERROR(K69/H69*100,0)</f>
        <v>0</v>
      </c>
      <c r="M69" s="16">
        <f>IF(ISERROR(VLOOKUP(D69,RW!B:E,4,0))=TRUE,0,VLOOKUP(D69,RW!B:E,4,0))</f>
        <v>0</v>
      </c>
      <c r="N69" s="51">
        <f>IF(G$1="","",IF(G$1="SUPER",VLOOKUP(D69,BUDŻET!H:K,3,0)*100,IF(G$1="SUPER+",VLOOKUP(D69,BUDŻET!H:K,4,0)*100,IF(G$1="CONTACT",VLOOKUP(D69,BUDŻET!H:K,2,0)*100,IF(G$1="WŁASNY",VLOOKUP(D69,BUDŻET!H:L,5,0)*100,"błąd")))))</f>
        <v>3</v>
      </c>
      <c r="O69" s="22">
        <f>IF(ISERROR(J69/H69*100)=TRUE,0,J69/H69*100)</f>
        <v>9.4466731479101682</v>
      </c>
      <c r="P69" s="22">
        <f>IF(ISERROR((J69-K69-M69)/H69*100)=TRUE,0,(J69-K69-M69)/H69*100)</f>
        <v>9.4466731479101682</v>
      </c>
      <c r="Q69" s="51">
        <f>IF(G$1="","",IF(G$1="SUPER",VLOOKUP(D69,BUDŻET!B:E,3,0)*100,IF(G$1="SUPER+",VLOOKUP(D69,BUDŻET!B:E,4,0)*100,IF(G$1="CONTACT",VLOOKUP(D69,BUDŻET!B:E,2,0)*100,IF(G$1="WŁASNY",VLOOKUP(D69,BUDŻET!B:F,5,0)*100,"błąd")))))</f>
        <v>0</v>
      </c>
      <c r="R69" s="22"/>
      <c r="S69" s="74">
        <f>H69/H$77*100</f>
        <v>2.3395120134896548</v>
      </c>
      <c r="T69" s="14"/>
      <c r="U69" s="16">
        <f>J69-K69</f>
        <v>1268.0599999999995</v>
      </c>
    </row>
    <row r="70" spans="1:21">
      <c r="A70" s="13" t="s">
        <v>52</v>
      </c>
      <c r="E70" s="24">
        <f t="shared" ref="E70:K70" si="36">E69</f>
        <v>688</v>
      </c>
      <c r="F70" s="25">
        <f t="shared" si="36"/>
        <v>11126.01</v>
      </c>
      <c r="G70" s="25">
        <f t="shared" si="36"/>
        <v>2297.34</v>
      </c>
      <c r="H70" s="17">
        <f t="shared" si="36"/>
        <v>13423.35</v>
      </c>
      <c r="I70" s="25">
        <f t="shared" si="36"/>
        <v>9857.9500000000007</v>
      </c>
      <c r="J70" s="25">
        <f t="shared" si="36"/>
        <v>1268.0599999999995</v>
      </c>
      <c r="K70" s="25">
        <f t="shared" si="36"/>
        <v>0</v>
      </c>
      <c r="L70" s="25">
        <f>K70/H70*100</f>
        <v>0</v>
      </c>
      <c r="M70" s="149">
        <f>M69</f>
        <v>0</v>
      </c>
      <c r="N70" s="57">
        <f>N69</f>
        <v>3</v>
      </c>
      <c r="O70" s="18">
        <f>IF(ISERROR(J70/H70*100)=TRUE,0,J70/H70*100)</f>
        <v>9.4466731479101682</v>
      </c>
      <c r="P70" s="18">
        <f>IF(ISERROR((J70-K70-M70)/H70*100)=TRUE,0,(J70-K70-M70)/H70*100)</f>
        <v>9.4466731479101682</v>
      </c>
      <c r="Q70" s="50">
        <f>Q69</f>
        <v>0</v>
      </c>
      <c r="R70" s="26"/>
      <c r="S70" s="75">
        <f>H70/H$77*100</f>
        <v>2.3395120134896548</v>
      </c>
      <c r="T70" s="14"/>
      <c r="U70" s="16">
        <f t="shared" si="6"/>
        <v>1268.0599999999995</v>
      </c>
    </row>
    <row r="71" spans="1:21">
      <c r="A71" s="13"/>
      <c r="H71" s="17"/>
      <c r="N71" s="52"/>
      <c r="O71" s="26"/>
      <c r="P71" s="26"/>
      <c r="Q71" s="52"/>
      <c r="R71" s="26"/>
      <c r="S71" s="71"/>
      <c r="T71" s="14"/>
      <c r="U71" s="16"/>
    </row>
    <row r="72" spans="1:21">
      <c r="A72" s="13"/>
      <c r="D72" s="2" t="s">
        <v>55</v>
      </c>
      <c r="E72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0</v>
      </c>
      <c r="F72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0</v>
      </c>
      <c r="G72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0</v>
      </c>
      <c r="H72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0</v>
      </c>
      <c r="I72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",30-LEN(D:D)),SPRZEDAŻ!B:J,4,0)),VLOOKUP(D:D,SPRZEDAŻ!B:J,4,0)))+IF(ISERROR(VLOOKUP(D72,REP!B:E,4,0))=TRUE,0,VLOOKUP(D72,REP!B:E,4,0))</f>
        <v>0</v>
      </c>
      <c r="J72" s="16">
        <f>F72-I72</f>
        <v>0</v>
      </c>
      <c r="K72" s="16">
        <f>IF(ISERROR(VLOOKUP(LEFT(D72,2),PL!A:E,5,0))=TRUE,0,VLOOKUP(LEFT(D72,2),PL!A:E,5,0))</f>
        <v>0</v>
      </c>
      <c r="L72" s="16">
        <f t="shared" ref="L72:L76" si="37">IFERROR(K72/H72*100,0)</f>
        <v>0</v>
      </c>
      <c r="M72" s="16">
        <f>IF(ISERROR(VLOOKUP(D72,RW!B:E,4,0))=TRUE,0,VLOOKUP(D72,RW!B:E,4,0))</f>
        <v>0</v>
      </c>
      <c r="N72" s="50">
        <f>IF(G$1="","",IF(G$1="SUPER",VLOOKUP(D72,BUDŻET!H:K,3,0)*100,IF(G$1="SUPER+",VLOOKUP(D72,BUDŻET!H:K,4,0)*100,IF(G$1="CONTACT",VLOOKUP(D72,BUDŻET!H:K,2,0)*100,IF(G$1="WŁASNY",VLOOKUP(D72,BUDŻET!H:L,5,0)*100,"błąd")))))</f>
        <v>0</v>
      </c>
      <c r="O72" s="18">
        <f>IF(ISERROR(J72/H72*100)=TRUE,0,J72/H72*100)</f>
        <v>0</v>
      </c>
      <c r="P72" s="18">
        <f>IF(ISERROR((J72-K72-M72)/H72*100)=TRUE,0,(J72-K72-M72)/H72*100)</f>
        <v>0</v>
      </c>
      <c r="Q72" s="50">
        <f>IF(G$1="","",IF(G$1="SUPER",VLOOKUP(D72,BUDŻET!B:E,3,0)*100,IF(G$1="SUPER+",VLOOKUP(D72,BUDŻET!B:E,4,0)*100,IF(G$1="CONTACT",VLOOKUP(D72,BUDŻET!B:E,2,0)*100,IF(G$1="WŁASNY",VLOOKUP(D72,BUDŻET!B:F,5,0)*100,"błąd")))))</f>
        <v>0</v>
      </c>
      <c r="R72" s="18"/>
      <c r="S72" s="68">
        <f>H72/H$77*100</f>
        <v>0</v>
      </c>
      <c r="T72" s="14"/>
      <c r="U72" s="16">
        <f t="shared" si="6"/>
        <v>0</v>
      </c>
    </row>
    <row r="73" spans="1:21">
      <c r="A73" s="13"/>
      <c r="D73" s="2" t="s">
        <v>54</v>
      </c>
      <c r="E73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1406</v>
      </c>
      <c r="F73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408.02000000000004</v>
      </c>
      <c r="G73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93.84</v>
      </c>
      <c r="H73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501.86</v>
      </c>
      <c r="I73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",30-LEN(D:D)),SPRZEDAŻ!B:J,4,0)),VLOOKUP(D:D,SPRZEDAŻ!B:J,4,0)))+IF(ISERROR(VLOOKUP(D73,REP!B:E,4,0))=TRUE,0,VLOOKUP(D73,REP!B:E,4,0))</f>
        <v>675.48</v>
      </c>
      <c r="J73" s="16">
        <f>F73-I73</f>
        <v>-267.45999999999998</v>
      </c>
      <c r="K73" s="16">
        <f>IF(ISERROR(VLOOKUP(LEFT(D73,2),PL!A:E,5,0))=TRUE,0,VLOOKUP(LEFT(D73,2),PL!A:E,5,0))</f>
        <v>0</v>
      </c>
      <c r="L73" s="16">
        <f t="shared" si="37"/>
        <v>0</v>
      </c>
      <c r="M73" s="16">
        <f>IF(ISERROR(VLOOKUP(D73,RW!B:E,4,0))=TRUE,0,VLOOKUP(D73,RW!B:E,4,0))</f>
        <v>0</v>
      </c>
      <c r="N73" s="50">
        <f>IF(G$1="","",IF(G$1="SUPER",VLOOKUP(D73,BUDŻET!H:K,3,0)*100,IF(G$1="SUPER+",VLOOKUP(D73,BUDŻET!H:K,4,0)*100,IF(G$1="CONTACT",VLOOKUP(D73,BUDŻET!H:K,2,0)*100,IF(G$1="WŁASNY",VLOOKUP(D73,BUDŻET!H:L,5,0)*100,"błąd")))))</f>
        <v>0</v>
      </c>
      <c r="O73" s="18">
        <f>IF(ISERROR(J73/H73*100)=TRUE,0,J73/H73*100)</f>
        <v>-53.293747260192085</v>
      </c>
      <c r="P73" s="18">
        <f>IF(ISERROR((J73-K73-M73)/H73*100)=TRUE,0,(J73-K73-M73)/H73*100)</f>
        <v>-53.293747260192085</v>
      </c>
      <c r="Q73" s="50">
        <f>IF(G$1="","",IF(G$1="SUPER",VLOOKUP(D73,BUDŻET!B:E,3,0)*100,IF(G$1="SUPER+",VLOOKUP(D73,BUDŻET!B:E,4,0)*100,IF(G$1="CONTACT",VLOOKUP(D73,BUDŻET!B:E,2,0)*100,IF(G$1="WŁASNY",VLOOKUP(D73,BUDŻET!B:F,5,0)*100,"błąd")))))</f>
        <v>0</v>
      </c>
      <c r="R73" s="18"/>
      <c r="S73" s="68">
        <f>H73/H$77*100</f>
        <v>8.7467547154020275E-2</v>
      </c>
      <c r="T73" s="14"/>
      <c r="U73" s="16">
        <f t="shared" si="6"/>
        <v>-267.45999999999998</v>
      </c>
    </row>
    <row r="74" spans="1:21">
      <c r="A74" s="13"/>
      <c r="D74" s="2" t="s">
        <v>53</v>
      </c>
      <c r="E74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0</v>
      </c>
      <c r="F74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0</v>
      </c>
      <c r="G74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0</v>
      </c>
      <c r="H74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0</v>
      </c>
      <c r="I74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",30-LEN(D:D)),SPRZEDAŻ!B:J,4,0)),VLOOKUP(D:D,SPRZEDAŻ!B:J,4,0)))+IF(ISERROR(VLOOKUP(D74,REP!B:E,4,0))=TRUE,0,VLOOKUP(D74,REP!B:E,4,0))</f>
        <v>0</v>
      </c>
      <c r="J74" s="16">
        <f>F74-I74</f>
        <v>0</v>
      </c>
      <c r="K74" s="16">
        <f>IF(ISERROR(VLOOKUP(LEFT(D74,2),PL!A:E,5,0))=TRUE,0,VLOOKUP(LEFT(D74,2),PL!A:E,5,0))</f>
        <v>0</v>
      </c>
      <c r="L74" s="16">
        <f t="shared" si="37"/>
        <v>0</v>
      </c>
      <c r="M74" s="16">
        <f>IF(ISERROR(VLOOKUP(D74,RW!B:E,4,0))=TRUE,0,VLOOKUP(D74,RW!B:E,4,0))</f>
        <v>0</v>
      </c>
      <c r="N74" s="50">
        <f>IF(G$1="","",IF(G$1="SUPER",VLOOKUP(D74,BUDŻET!H:K,3,0)*100,IF(G$1="SUPER+",VLOOKUP(D74,BUDŻET!H:K,4,0)*100,IF(G$1="CONTACT",VLOOKUP(D74,BUDŻET!H:K,2,0)*100,IF(G$1="WŁASNY",VLOOKUP(D74,BUDŻET!H:L,5,0)*100,"błąd")))))</f>
        <v>0</v>
      </c>
      <c r="O74" s="18">
        <f>IF(ISERROR(J74/H74*100)=TRUE,0,J74/H74*100)</f>
        <v>0</v>
      </c>
      <c r="P74" s="18">
        <f>IF(ISERROR((J74-K74-M74)/H74*100)=TRUE,0,(J74-K74-M74)/H74*100)</f>
        <v>0</v>
      </c>
      <c r="Q74" s="50">
        <f>IF(G$1="","",IF(G$1="SUPER",VLOOKUP(D74,BUDŻET!B:E,3,0)*100,IF(G$1="SUPER+",VLOOKUP(D74,BUDŻET!B:E,4,0)*100,IF(G$1="CONTACT",VLOOKUP(D74,BUDŻET!B:E,2,0)*100,IF(G$1="WŁASNY",VLOOKUP(D74,BUDŻET!B:F,5,0)*100,"błąd")))))</f>
        <v>0</v>
      </c>
      <c r="R74" s="18"/>
      <c r="S74" s="68">
        <f>H74/H$77*100</f>
        <v>0</v>
      </c>
      <c r="T74" s="14"/>
      <c r="U74" s="16">
        <f t="shared" si="6"/>
        <v>0</v>
      </c>
    </row>
    <row r="75" spans="1:21">
      <c r="D75" s="2" t="s">
        <v>34</v>
      </c>
      <c r="E75" s="15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8672</v>
      </c>
      <c r="F75" s="16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4337.5</v>
      </c>
      <c r="G75" s="16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0</v>
      </c>
      <c r="H75" s="17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4337.5</v>
      </c>
      <c r="I75" s="16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",30-LEN(D:D)),SPRZEDAŻ!B:J,4,0)),VLOOKUP(D:D,SPRZEDAŻ!B:J,4,0)))+IF(ISERROR(VLOOKUP(D75,REP!B:E,4,0))=TRUE,0,VLOOKUP(D75,REP!B:E,4,0))</f>
        <v>4191.58</v>
      </c>
      <c r="J75" s="16">
        <f>F75-I75</f>
        <v>145.92000000000007</v>
      </c>
      <c r="K75" s="16">
        <f>IF(ISERROR(VLOOKUP(LEFT(D75,2),PL!A:E,5,0))=TRUE,0,VLOOKUP(LEFT(D75,2),PL!A:E,5,0))</f>
        <v>0</v>
      </c>
      <c r="L75" s="16">
        <f t="shared" si="37"/>
        <v>0</v>
      </c>
      <c r="M75" s="16">
        <f>IF(ISERROR(VLOOKUP(D75,RW!B:E,4,0))=TRUE,0,VLOOKUP(D75,RW!B:E,4,0))</f>
        <v>0</v>
      </c>
      <c r="N75" s="50">
        <f>IF(G$1="","",IF(G$1="SUPER",VLOOKUP(D75,BUDŻET!H:K,3,0)*100,IF(G$1="SUPER+",VLOOKUP(D75,BUDŻET!H:K,4,0)*100,IF(G$1="CONTACT",VLOOKUP(D75,BUDŻET!H:K,2,0)*100,IF(G$1="WŁASNY",VLOOKUP(D75,BUDŻET!H:L,5,0)*100,"błąd")))))</f>
        <v>0</v>
      </c>
      <c r="O75" s="18">
        <f>IF(ISERROR(J75/H75*100)=TRUE,0,J75/H75*100)</f>
        <v>3.3641498559077823</v>
      </c>
      <c r="P75" s="18">
        <f>IF(ISERROR((J75-K75-M75)/H75*100)=TRUE,0,(J75-K75-M75)/H75*100)</f>
        <v>3.3641498559077823</v>
      </c>
      <c r="Q75" s="50">
        <f>IF(G$1="","",IF(G$1="SUPER",VLOOKUP(D75,BUDŻET!B:E,3,0)*100,IF(G$1="SUPER+",VLOOKUP(D75,BUDŻET!B:E,4,0)*100,IF(G$1="CONTACT",VLOOKUP(D75,BUDŻET!B:E,2,0)*100,IF(G$1="WŁASNY",VLOOKUP(D75,BUDŻET!B:F,5,0)*100,"błąd")))))</f>
        <v>0</v>
      </c>
      <c r="R75" s="18"/>
      <c r="S75" s="68">
        <f>H75/H$77*100</f>
        <v>0.75596876774511401</v>
      </c>
      <c r="T75" s="14"/>
      <c r="U75" s="16">
        <f t="shared" si="6"/>
        <v>145.92000000000007</v>
      </c>
    </row>
    <row r="76" spans="1:21">
      <c r="A76" s="27"/>
      <c r="B76" s="27"/>
      <c r="C76" s="27"/>
      <c r="D76" s="27" t="s">
        <v>87</v>
      </c>
      <c r="E76" s="58">
        <f xml:space="preserve"> IF(SPRZEDAŻ!D$7="Ilość",IF(ISERROR(VLOOKUP(D:D,SPRZEDAŻ!B:J,3,0))=TRUE,IF(ISERROR(VLOOKUP(D:D&amp;REPT(" ",30-LEN(D:D)),SPRZEDAŻ!B:J,3,0))=TRUE,0,VLOOKUP(D:D&amp;REPT(" ",30-LEN(D:D)),SPRZEDAŻ!B:J,3,0)),VLOOKUP(D:D,SPRZEDAŻ!B:J,3,0)),IF(ISERROR(VLOOKUP(D:D,SPRZEDAŻ!B:J,3,0))=TRUE,IF(ISERROR(VLOOKUP(D:D&amp;REPT(" ",30-LEN(D:D)),SPRZEDAŻ!B:J,3,0))=TRUE,0,VLOOKUP(D:D&amp;REPT(" ",30-LEN(D:D)),SPRZEDAŻ!B:J,3,0)),VLOOKUP(D:D,SPRZEDAŻ!B:J,3,0)))</f>
        <v>0</v>
      </c>
      <c r="F76" s="20">
        <f xml:space="preserve"> IF(SPRZEDAŻ!D$7="Ilość",IF(ISERROR(VLOOKUP(D:D,SPRZEDAŻ!B:J,4,0)+VLOOKUP(D:D,SPRZEDAŻ!B:J,7,0))=TRUE,IF(ISERROR(VLOOKUP(D:D&amp;REPT("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",30-LEN(D:D)),SPRZEDAŻ!B:J,7,0)),VLOOKUP(D:D,SPRZEDAŻ!B:J,4,0)+VLOOKUP(D:D,SPRZEDAŻ!B:J,7,0)),IF(ISERROR(VLOOKUP(D:D,SPRZEDAŻ!B:J,4,0)+VLOOKUP(D:D,SPRZEDAŻ!B:J,7,0))=TRUE,IF(ISERROR(VLOOKUP(D:D&amp;REPT(" ",30-LEN(D:D)),SPRZEDAŻ!B:J,4,0)+VLOOKUP(D:D&amp;REPT(" ",30-LEN(D:D)),SPRZEDAŻ!B:J,7,0))=TRUE,0,VLOOKUP(D:D&amp;REPT(" ",30-LEN(D:D)),SPRZEDAŻ!B:J,4,0)+VLOOKUP(D:D&amp;REPT(" ",30-LEN(D:D)),SPRZEDAŻ!B:J,7,0)),VLOOKUP(D:D,SPRZEDAŻ!B:J,4,0)+VLOOKUP(D:D,SPRZEDAŻ!B:J,7,0)))</f>
        <v>0</v>
      </c>
      <c r="G76" s="20">
        <f xml:space="preserve"> IF(SPRZEDAŻ!D$7="Ilość",IF(ISERROR(VLOOKUP(D:D,SPRZEDAŻ!B:J,6,0))=TRUE,IF(ISERROR(VLOOKUP(D:D&amp;REPT(" ",30-LEN(D:D)),SPRZEDAŻ!B:J,6,0))=TRUE,0,VLOOKUP(D:D&amp;REPT(" ",30-LEN(D:D)),SPRZEDAŻ!B:J,6,0)),VLOOKUP(D:D,SPRZEDAŻ!B:J,6,0)),IF(ISERROR(VLOOKUP(D:D,SPRZEDAŻ!B:J,6,0))=TRUE,IF(ISERROR(VLOOKUP(D:D&amp;REPT(" ",30-LEN(D:D)),SPRZEDAŻ!B:J,6,0))=TRUE,0,VLOOKUP(D:D&amp;REPT(" ",30-LEN(D:D)),SPRZEDAŻ!B:J,6,0)),VLOOKUP(D:D,SPRZEDAŻ!B:J,6,0)))</f>
        <v>0</v>
      </c>
      <c r="H76" s="59">
        <f xml:space="preserve"> IF(SPRZEDAŻ!D$7="Ilość",IF(ISERROR(VLOOKUP(D:D,SPRZEDAŻ!B:J,5,0))=TRUE,IF(ISERROR(VLOOKUP(D:D&amp;REPT(" ",30-LEN(D:D)),SPRZEDAŻ!B:J,5,0))=TRUE,0,VLOOKUP(D:D&amp;REPT(" ",30-LEN(D:D)),SPRZEDAŻ!B:J,5,0)),VLOOKUP(D:D,SPRZEDAŻ!B:J,5,0)),IF(ISERROR(VLOOKUP(D:D,SPRZEDAŻ!B:J,5,0))=TRUE,IF(ISERROR(VLOOKUP(D:D&amp;REPT(" ",30-LEN(D:D)),SPRZEDAŻ!B:J,5,0))=TRUE,0,VLOOKUP(D:D&amp;REPT(" ",30-LEN(D:D)),SPRZEDAŻ!B:J,5,0)),VLOOKUP(D:D,SPRZEDAŻ!B:J,5,0)))</f>
        <v>0</v>
      </c>
      <c r="I76" s="20">
        <f xml:space="preserve"> IF(SPRZEDAŻ!D$7="Ilość",IF(ISERROR(VLOOKUP(D:D,SPRZEDAŻ!B:J,4,0))=TRUE,IF(ISERROR(VLOOKUP(D:D&amp;REPT(" ",30-LEN(D:D)),SPRZEDAŻ!B:J,4,0))=TRUE,0,VLOOKUP(D:D&amp;REPT(" ",30-LEN(D:D)),SPRZEDAŻ!B:J,4,0)),VLOOKUP(D:D,SPRZEDAŻ!B:J,4,0)),IF(ISERROR(VLOOKUP(D:D,SPRZEDAŻ!B:J,4,0))=TRUE,IF(ISERROR(VLOOKUP(D:D&amp;REPT(" ",30-LEN(D:D)),SPRZEDAŻ!B:J,4,0))=TRUE,0,VLOOKUP(D:D&amp;REPT(" ",30-LEN(D:D)),SPRZEDAŻ!B:J,4,0)),VLOOKUP(D:D,SPRZEDAŻ!B:J,4,0)))+IF(ISERROR(VLOOKUP(D76,REP!B:E,4,0))=TRUE,0,VLOOKUP(D76,REP!B:E,4,0))</f>
        <v>0</v>
      </c>
      <c r="J76" s="20">
        <f>F76-I76</f>
        <v>0</v>
      </c>
      <c r="K76" s="20">
        <f>IF(ISERROR(VLOOKUP(LEFT(D76,2),PL!A:E,5,0))=TRUE,0,VLOOKUP(LEFT(D76,2),PL!A:E,5,0))</f>
        <v>0</v>
      </c>
      <c r="L76" s="20">
        <f t="shared" si="37"/>
        <v>0</v>
      </c>
      <c r="M76" s="16">
        <f>IF(ISERROR(VLOOKUP(D76,RW!B:E,4,0))=TRUE,0,VLOOKUP(D76,RW!B:E,4,0))</f>
        <v>0</v>
      </c>
      <c r="N76" s="51">
        <f>IF(G$1="","",IF(G$1="SUPER",VLOOKUP(D76,BUDŻET!H:K,3,0)*100,IF(G$1="SUPER+",VLOOKUP(D76,BUDŻET!H:K,4,0)*100,IF(G$1="CONTACT",VLOOKUP(D76,BUDŻET!H:K,2,0)*100,IF(G$1="WŁASNY",VLOOKUP(D76,BUDŻET!H:L,5,0)*100,"błąd")))))</f>
        <v>0</v>
      </c>
      <c r="O76" s="22">
        <f>IF(ISERROR(J76/H76*100)=TRUE,0,J76/H76*100)</f>
        <v>0</v>
      </c>
      <c r="P76" s="22">
        <f>IF(ISERROR((J76-K76-M76)/H76*100)=TRUE,0,(J76-K76-M76)/H76*100)</f>
        <v>0</v>
      </c>
      <c r="Q76" s="21">
        <f>IF(G$1="","",IF(G$1="SUPER",VLOOKUP(D76,BUDŻET!B:E,3,0)*100,IF(G$1="SUPER+",VLOOKUP(D76,BUDŻET!B:E,4,0)*100,IF(G$1="CONTACT",VLOOKUP(D76,BUDŻET!B:E,2,0)*100,IF(G$1="WŁASNY",VLOOKUP(D76,BUDŻET!B:F,5,0)*100,"błąd")))))</f>
        <v>0</v>
      </c>
      <c r="R76" s="22"/>
      <c r="S76" s="69">
        <f>H76/H$77*100</f>
        <v>0</v>
      </c>
      <c r="T76" s="14"/>
      <c r="U76" s="16">
        <f t="shared" si="6"/>
        <v>0</v>
      </c>
    </row>
    <row r="77" spans="1:21" s="37" customFormat="1" ht="13.5" thickBot="1">
      <c r="A77" s="164" t="s">
        <v>38</v>
      </c>
      <c r="B77" s="164"/>
      <c r="C77" s="164"/>
      <c r="D77" s="165"/>
      <c r="E77" s="33">
        <f t="shared" ref="E77:K77" si="38">E51+E66+E69+SUM(E72:E76)</f>
        <v>91937.31</v>
      </c>
      <c r="F77" s="34">
        <f t="shared" si="38"/>
        <v>517844</v>
      </c>
      <c r="G77" s="34">
        <f t="shared" si="38"/>
        <v>55923.119999999995</v>
      </c>
      <c r="H77" s="35">
        <f t="shared" si="38"/>
        <v>573767.09000000008</v>
      </c>
      <c r="I77" s="34">
        <f t="shared" si="38"/>
        <v>385372.51999999996</v>
      </c>
      <c r="J77" s="34">
        <f t="shared" si="38"/>
        <v>132471.47999999998</v>
      </c>
      <c r="K77" s="34">
        <f t="shared" si="38"/>
        <v>10944.979999999998</v>
      </c>
      <c r="L77" s="34">
        <f>K77/H77*100</f>
        <v>1.9075649668230357</v>
      </c>
      <c r="M77" s="150">
        <f>M51+M66+M69+SUM(M72:M76)</f>
        <v>0</v>
      </c>
      <c r="N77" s="60">
        <f>IF(G$1="","",IF(G$1="SUPER",VLOOKUP(A77,BUDŻET!H:K,3,0)*100,IF(G$1="SUPER+",VLOOKUP(A77,BUDŻET!H:K,4,0)*100,IF(G$1="CONTACT",VLOOKUP(A77,BUDŻET!H:K,2,0)*100,IF(G$1="WŁASNY",VLOOKUP(A77,BUDŻET!H:L,5,0)*100,"błąd")))))</f>
        <v>0</v>
      </c>
      <c r="O77" s="61">
        <f>J77/H77*100</f>
        <v>23.088023399878157</v>
      </c>
      <c r="P77" s="61">
        <f>(J77-K77-M77)/H77*100</f>
        <v>21.180458433055122</v>
      </c>
      <c r="Q77" s="60">
        <f>IF(G$1="","",IF(G$1="SUPER",VLOOKUP(A77,BUDŻET!B:E,3,0)*100,IF(G$1="SUPER+",VLOOKUP(A77,BUDŻET!B:E,4,0)*100,IF(G$1="CONTACT",VLOOKUP(A77,BUDŻET!B:E,2,0)*100,IF(G$1="WŁASNY",VLOOKUP(A77,BUDŻET!B:F,5,0)*100,"błąd")))))</f>
        <v>0</v>
      </c>
      <c r="R77" s="62"/>
      <c r="S77" s="36"/>
      <c r="U77" s="16">
        <f>J77-K77</f>
        <v>121526.49999999999</v>
      </c>
    </row>
    <row r="78" spans="1:21">
      <c r="K78" s="80">
        <f>K77/H77</f>
        <v>1.9075649668230357E-2</v>
      </c>
      <c r="L78" s="80"/>
      <c r="M78" s="80">
        <f>M77/H77</f>
        <v>0</v>
      </c>
    </row>
  </sheetData>
  <mergeCells count="4">
    <mergeCell ref="A3:S3"/>
    <mergeCell ref="A9:D9"/>
    <mergeCell ref="A77:D77"/>
    <mergeCell ref="A4:S4"/>
  </mergeCells>
  <phoneticPr fontId="42" type="noConversion"/>
  <conditionalFormatting sqref="O13:P21 O72:P77 O37:P51 O54:P66 O23:P34 O69:P70">
    <cfRule type="cellIs" dxfId="8" priority="2" stopIfTrue="1" operator="greaterThanOrEqual">
      <formula>$N13</formula>
    </cfRule>
    <cfRule type="cellIs" dxfId="7" priority="3" stopIfTrue="1" operator="lessThan">
      <formula>$N13</formula>
    </cfRule>
  </conditionalFormatting>
  <conditionalFormatting sqref="G1">
    <cfRule type="cellIs" dxfId="6" priority="4" stopIfTrue="1" operator="equal">
      <formula>""</formula>
    </cfRule>
  </conditionalFormatting>
  <conditionalFormatting sqref="R13:R21 R37:R51 S69:S70 S66 R54:R65 R23:R34">
    <cfRule type="cellIs" dxfId="5" priority="5" stopIfTrue="1" operator="greaterThanOrEqual">
      <formula>$Q13</formula>
    </cfRule>
    <cfRule type="cellIs" dxfId="4" priority="6" stopIfTrue="1" operator="lessThan">
      <formula>$Q13</formula>
    </cfRule>
  </conditionalFormatting>
  <conditionalFormatting sqref="L13:L20 L23:L32 L37:L49">
    <cfRule type="expression" dxfId="3" priority="1">
      <formula>$L13&gt;$Q13</formula>
    </cfRule>
  </conditionalFormatting>
  <dataValidations disablePrompts="1" count="1">
    <dataValidation type="list" allowBlank="1" showInputMessage="1" showErrorMessage="1" sqref="G1">
      <formula1>FormatSklepu</formula1>
    </dataValidation>
  </dataValidations>
  <printOptions horizontalCentered="1"/>
  <pageMargins left="0.39370078740157483" right="0.35433070866141736" top="0.31496062992125984" bottom="0.43307086614173229" header="0.31496062992125984" footer="0.23622047244094491"/>
  <pageSetup scale="55" orientation="landscape" r:id="rId1"/>
  <headerFooter alignWithMargins="0">
    <oddFooter>&amp;C&amp;D  &amp;T&amp;RStrona &amp;P z &amp;N</oddFooter>
  </headerFooter>
  <rowBreaks count="1" manualBreakCount="1">
    <brk id="51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 enableFormatConditionsCalculation="0">
    <tabColor indexed="10"/>
    <pageSetUpPr fitToPage="1"/>
  </sheetPr>
  <dimension ref="A1:I57"/>
  <sheetViews>
    <sheetView showGridLines="0" workbookViewId="0">
      <selection activeCell="G15" sqref="G15"/>
    </sheetView>
  </sheetViews>
  <sheetFormatPr defaultRowHeight="14.25" customHeight="1"/>
  <cols>
    <col min="1" max="1" width="7.7109375" customWidth="1"/>
    <col min="2" max="2" width="35.7109375" customWidth="1"/>
    <col min="3" max="9" width="10.7109375" customWidth="1"/>
    <col min="10" max="10" width="0" hidden="1" customWidth="1"/>
  </cols>
  <sheetData>
    <row r="1" spans="1:9" ht="15">
      <c r="A1" s="95" t="s">
        <v>248</v>
      </c>
    </row>
    <row r="2" spans="1:9" ht="15">
      <c r="A2" s="95" t="s">
        <v>247</v>
      </c>
    </row>
    <row r="3" spans="1:9" ht="15">
      <c r="A3" s="95"/>
    </row>
    <row r="4" spans="1:9" ht="15">
      <c r="A4" s="95" t="s">
        <v>249</v>
      </c>
    </row>
    <row r="5" spans="1:9" ht="15">
      <c r="A5" s="95" t="s">
        <v>197</v>
      </c>
    </row>
    <row r="6" spans="1:9" ht="12.75"/>
    <row r="7" spans="1:9" ht="45">
      <c r="A7" s="96" t="s">
        <v>198</v>
      </c>
      <c r="B7" s="96" t="s">
        <v>199</v>
      </c>
      <c r="C7" s="96" t="s">
        <v>200</v>
      </c>
      <c r="D7" s="96" t="s">
        <v>201</v>
      </c>
      <c r="E7" s="96" t="s">
        <v>202</v>
      </c>
      <c r="F7" s="96" t="s">
        <v>203</v>
      </c>
      <c r="G7" s="96" t="s">
        <v>204</v>
      </c>
      <c r="H7" s="96" t="s">
        <v>205</v>
      </c>
      <c r="I7" s="96" t="s">
        <v>206</v>
      </c>
    </row>
    <row r="8" spans="1:9" ht="12.75">
      <c r="A8" s="63" t="s">
        <v>186</v>
      </c>
      <c r="B8" s="63" t="s">
        <v>207</v>
      </c>
      <c r="C8">
        <v>0</v>
      </c>
      <c r="D8">
        <v>24651.46</v>
      </c>
      <c r="E8">
        <v>105224.2</v>
      </c>
      <c r="F8">
        <v>152664.87</v>
      </c>
      <c r="G8">
        <v>14457.47</v>
      </c>
      <c r="H8">
        <v>32983.199999999997</v>
      </c>
      <c r="I8">
        <v>21.6</v>
      </c>
    </row>
    <row r="9" spans="1:9" ht="12.75">
      <c r="A9" s="63" t="s">
        <v>187</v>
      </c>
      <c r="B9" s="63" t="s">
        <v>208</v>
      </c>
      <c r="C9">
        <v>0</v>
      </c>
      <c r="D9">
        <v>1049</v>
      </c>
      <c r="E9">
        <v>7685.01</v>
      </c>
      <c r="F9">
        <v>12999.19</v>
      </c>
      <c r="G9">
        <v>2334.15</v>
      </c>
      <c r="H9">
        <v>2980.03</v>
      </c>
      <c r="I9">
        <v>22.92</v>
      </c>
    </row>
    <row r="10" spans="1:9" ht="12.75">
      <c r="A10" s="63" t="s">
        <v>188</v>
      </c>
      <c r="B10" s="63" t="s">
        <v>241</v>
      </c>
      <c r="C10">
        <v>0</v>
      </c>
      <c r="D10">
        <v>785</v>
      </c>
      <c r="E10">
        <v>5662.14</v>
      </c>
      <c r="F10">
        <v>9390.7900000000009</v>
      </c>
      <c r="G10">
        <v>1713.26</v>
      </c>
      <c r="H10">
        <v>2015.39</v>
      </c>
      <c r="I10">
        <v>21.46</v>
      </c>
    </row>
    <row r="11" spans="1:9" ht="12.75">
      <c r="A11" s="63" t="s">
        <v>189</v>
      </c>
      <c r="B11" s="63" t="s">
        <v>230</v>
      </c>
      <c r="C11">
        <v>0</v>
      </c>
      <c r="D11">
        <v>943</v>
      </c>
      <c r="E11">
        <v>5719.98</v>
      </c>
      <c r="F11">
        <v>8882.23</v>
      </c>
      <c r="G11">
        <v>1377.3</v>
      </c>
      <c r="H11">
        <v>1784.96</v>
      </c>
      <c r="I11">
        <v>20.100000000000001</v>
      </c>
    </row>
    <row r="12" spans="1:9" ht="12.75">
      <c r="A12" s="63" t="s">
        <v>140</v>
      </c>
      <c r="B12" s="63" t="s">
        <v>209</v>
      </c>
      <c r="C12">
        <v>0</v>
      </c>
      <c r="D12">
        <v>6493.55</v>
      </c>
      <c r="E12">
        <v>29667.32</v>
      </c>
      <c r="F12">
        <v>40035.22</v>
      </c>
      <c r="G12">
        <v>1921.07</v>
      </c>
      <c r="H12">
        <v>8446.83</v>
      </c>
      <c r="I12">
        <v>21.1</v>
      </c>
    </row>
    <row r="13" spans="1:9" ht="12.75">
      <c r="A13" s="63" t="s">
        <v>141</v>
      </c>
      <c r="B13" s="63" t="s">
        <v>210</v>
      </c>
      <c r="C13">
        <v>0</v>
      </c>
      <c r="D13">
        <v>48.25</v>
      </c>
      <c r="E13">
        <v>558.80999999999995</v>
      </c>
      <c r="F13">
        <v>855.56</v>
      </c>
      <c r="G13">
        <v>40.74</v>
      </c>
      <c r="H13">
        <v>256.01</v>
      </c>
      <c r="I13">
        <v>29.92</v>
      </c>
    </row>
    <row r="14" spans="1:9" ht="12.75">
      <c r="A14" s="63" t="s">
        <v>150</v>
      </c>
      <c r="B14" s="63" t="s">
        <v>211</v>
      </c>
      <c r="C14">
        <v>0</v>
      </c>
      <c r="D14">
        <v>1262</v>
      </c>
      <c r="E14">
        <v>8204.93</v>
      </c>
      <c r="F14">
        <v>12094.65</v>
      </c>
      <c r="G14">
        <v>643.63</v>
      </c>
      <c r="H14">
        <v>3246.09</v>
      </c>
      <c r="I14">
        <v>26.84</v>
      </c>
    </row>
    <row r="15" spans="1:9" ht="12.75">
      <c r="A15" s="63" t="s">
        <v>151</v>
      </c>
      <c r="B15" s="63" t="s">
        <v>212</v>
      </c>
      <c r="C15">
        <v>0</v>
      </c>
      <c r="D15">
        <v>2076.44</v>
      </c>
      <c r="E15">
        <v>12288</v>
      </c>
      <c r="F15">
        <v>17364.599999999999</v>
      </c>
      <c r="G15">
        <v>826.89</v>
      </c>
      <c r="H15">
        <v>4249.71</v>
      </c>
      <c r="I15">
        <v>24.47</v>
      </c>
    </row>
    <row r="16" spans="1:9" ht="12.75">
      <c r="A16" s="63" t="s">
        <v>152</v>
      </c>
      <c r="B16" s="63" t="s">
        <v>213</v>
      </c>
      <c r="C16">
        <v>0</v>
      </c>
      <c r="D16">
        <v>817.32</v>
      </c>
      <c r="E16">
        <v>6118.15</v>
      </c>
      <c r="F16">
        <v>8688.82</v>
      </c>
      <c r="G16">
        <v>422.29</v>
      </c>
      <c r="H16">
        <v>2148.38</v>
      </c>
      <c r="I16">
        <v>24.73</v>
      </c>
    </row>
    <row r="17" spans="1:9" ht="12.75">
      <c r="A17" s="63" t="s">
        <v>153</v>
      </c>
      <c r="B17" s="63" t="s">
        <v>214</v>
      </c>
      <c r="C17">
        <v>0</v>
      </c>
      <c r="D17">
        <v>2447.9699999999998</v>
      </c>
      <c r="E17">
        <v>7845.33</v>
      </c>
      <c r="F17">
        <v>12447.18</v>
      </c>
      <c r="G17">
        <v>592.72</v>
      </c>
      <c r="H17">
        <v>4009.13</v>
      </c>
      <c r="I17">
        <v>32.21</v>
      </c>
    </row>
    <row r="18" spans="1:9" ht="12.75">
      <c r="A18" s="63" t="s">
        <v>154</v>
      </c>
      <c r="B18" s="63" t="s">
        <v>215</v>
      </c>
      <c r="C18">
        <v>0</v>
      </c>
      <c r="D18">
        <v>370.42</v>
      </c>
      <c r="E18">
        <v>2783.61</v>
      </c>
      <c r="F18">
        <v>3422.56</v>
      </c>
      <c r="G18">
        <v>204.06</v>
      </c>
      <c r="H18">
        <v>434.89</v>
      </c>
      <c r="I18">
        <v>12.71</v>
      </c>
    </row>
    <row r="19" spans="1:9" ht="12.75">
      <c r="A19" s="63" t="s">
        <v>155</v>
      </c>
      <c r="B19" s="63" t="s">
        <v>216</v>
      </c>
      <c r="C19">
        <v>0</v>
      </c>
      <c r="D19">
        <v>1117.8</v>
      </c>
      <c r="E19">
        <v>18047.34</v>
      </c>
      <c r="F19">
        <v>29754.77</v>
      </c>
      <c r="G19">
        <v>1416.89</v>
      </c>
      <c r="H19">
        <v>10290.540000000001</v>
      </c>
      <c r="I19">
        <v>34.58</v>
      </c>
    </row>
    <row r="20" spans="1:9" ht="12.75">
      <c r="A20" s="63" t="s">
        <v>156</v>
      </c>
      <c r="B20" s="63" t="s">
        <v>217</v>
      </c>
      <c r="C20">
        <v>0</v>
      </c>
      <c r="D20">
        <v>11176.53</v>
      </c>
      <c r="E20">
        <v>41337.58</v>
      </c>
      <c r="F20">
        <v>52835.11</v>
      </c>
      <c r="G20">
        <v>2587.4899999999998</v>
      </c>
      <c r="H20">
        <v>8910.0400000000009</v>
      </c>
      <c r="I20">
        <v>16.86</v>
      </c>
    </row>
    <row r="21" spans="1:9" ht="12.75">
      <c r="A21" s="63" t="s">
        <v>157</v>
      </c>
      <c r="B21" s="63" t="s">
        <v>218</v>
      </c>
      <c r="C21">
        <v>0</v>
      </c>
      <c r="D21">
        <v>306.87</v>
      </c>
      <c r="E21">
        <v>5743.9</v>
      </c>
      <c r="F21">
        <v>5882.06</v>
      </c>
      <c r="G21">
        <v>280.10000000000002</v>
      </c>
      <c r="H21">
        <v>-141.94</v>
      </c>
      <c r="I21">
        <v>-2.41</v>
      </c>
    </row>
    <row r="22" spans="1:9" ht="12.75">
      <c r="A22" s="63" t="s">
        <v>144</v>
      </c>
      <c r="B22" s="63" t="s">
        <v>219</v>
      </c>
      <c r="C22">
        <v>0</v>
      </c>
      <c r="D22">
        <v>5211</v>
      </c>
      <c r="E22">
        <v>4851.1099999999997</v>
      </c>
      <c r="F22">
        <v>7238.85</v>
      </c>
      <c r="G22">
        <v>344.71</v>
      </c>
      <c r="H22">
        <v>2043.04</v>
      </c>
      <c r="I22">
        <v>28.22</v>
      </c>
    </row>
    <row r="23" spans="1:9" ht="12.75">
      <c r="A23" s="63" t="s">
        <v>145</v>
      </c>
      <c r="B23" s="63" t="s">
        <v>220</v>
      </c>
      <c r="C23">
        <v>0</v>
      </c>
      <c r="D23">
        <v>150.55000000000001</v>
      </c>
      <c r="E23">
        <v>3217.56</v>
      </c>
      <c r="F23">
        <v>4524.99</v>
      </c>
      <c r="G23">
        <v>215.48</v>
      </c>
      <c r="H23">
        <v>1091.95</v>
      </c>
      <c r="I23">
        <v>24.13</v>
      </c>
    </row>
    <row r="24" spans="1:9" ht="12.75">
      <c r="A24" s="63" t="s">
        <v>146</v>
      </c>
      <c r="B24" s="63" t="s">
        <v>221</v>
      </c>
      <c r="C24">
        <v>0</v>
      </c>
      <c r="D24">
        <v>350.44</v>
      </c>
      <c r="E24">
        <v>8594.2900000000009</v>
      </c>
      <c r="F24">
        <v>12103.79</v>
      </c>
      <c r="G24">
        <v>576.37</v>
      </c>
      <c r="H24">
        <v>2933.12</v>
      </c>
      <c r="I24">
        <v>24.23</v>
      </c>
    </row>
    <row r="25" spans="1:9" ht="12.75">
      <c r="A25" s="63" t="s">
        <v>147</v>
      </c>
      <c r="B25" s="63" t="s">
        <v>231</v>
      </c>
      <c r="C25">
        <v>0</v>
      </c>
      <c r="D25">
        <v>162.9</v>
      </c>
      <c r="E25">
        <v>1888.22</v>
      </c>
      <c r="F25">
        <v>3706.13</v>
      </c>
      <c r="G25">
        <v>437.67</v>
      </c>
      <c r="H25">
        <v>1380.25</v>
      </c>
      <c r="I25">
        <v>37.24</v>
      </c>
    </row>
    <row r="26" spans="1:9" ht="12.75">
      <c r="A26" s="63" t="s">
        <v>148</v>
      </c>
      <c r="B26" s="63" t="s">
        <v>232</v>
      </c>
      <c r="C26">
        <v>0</v>
      </c>
      <c r="D26">
        <v>135.72999999999999</v>
      </c>
      <c r="E26">
        <v>2721.73</v>
      </c>
      <c r="F26">
        <v>4360.01</v>
      </c>
      <c r="G26">
        <v>207.62</v>
      </c>
      <c r="H26">
        <v>1430.66</v>
      </c>
      <c r="I26">
        <v>32.81</v>
      </c>
    </row>
    <row r="27" spans="1:9" ht="12.75">
      <c r="A27" s="63" t="s">
        <v>149</v>
      </c>
      <c r="B27" s="63" t="s">
        <v>222</v>
      </c>
      <c r="C27">
        <v>0</v>
      </c>
      <c r="D27">
        <v>816.99</v>
      </c>
      <c r="E27">
        <v>11923.8</v>
      </c>
      <c r="F27">
        <v>24038.07</v>
      </c>
      <c r="G27">
        <v>1144.67</v>
      </c>
      <c r="H27">
        <v>10969.6</v>
      </c>
      <c r="I27">
        <v>45.63</v>
      </c>
    </row>
    <row r="28" spans="1:9" ht="12.75">
      <c r="A28" s="63" t="s">
        <v>181</v>
      </c>
      <c r="B28" s="63" t="s">
        <v>233</v>
      </c>
      <c r="C28">
        <v>0</v>
      </c>
      <c r="D28">
        <v>688</v>
      </c>
      <c r="E28">
        <v>9857.9500000000007</v>
      </c>
      <c r="F28">
        <v>13423.35</v>
      </c>
      <c r="G28">
        <v>2297.34</v>
      </c>
      <c r="H28">
        <v>1268.06</v>
      </c>
      <c r="I28">
        <v>9.4499999999999993</v>
      </c>
    </row>
    <row r="29" spans="1:9" ht="12.75">
      <c r="A29" s="63" t="s">
        <v>159</v>
      </c>
      <c r="B29" s="63" t="s">
        <v>223</v>
      </c>
      <c r="C29">
        <v>0</v>
      </c>
      <c r="D29">
        <v>447.85</v>
      </c>
      <c r="E29">
        <v>4004.56</v>
      </c>
      <c r="F29">
        <v>5890.21</v>
      </c>
      <c r="G29">
        <v>280.49</v>
      </c>
      <c r="H29">
        <v>1605.17</v>
      </c>
      <c r="I29">
        <v>27.25</v>
      </c>
    </row>
    <row r="30" spans="1:9" ht="12.75">
      <c r="A30" s="63" t="s">
        <v>170</v>
      </c>
      <c r="B30" s="63" t="s">
        <v>250</v>
      </c>
      <c r="C30">
        <v>0</v>
      </c>
      <c r="D30">
        <v>1</v>
      </c>
      <c r="E30">
        <v>8.7899999999999991</v>
      </c>
      <c r="F30">
        <v>19.989999999999998</v>
      </c>
      <c r="G30">
        <v>3.74</v>
      </c>
      <c r="H30">
        <v>7.46</v>
      </c>
      <c r="I30">
        <v>37.33</v>
      </c>
    </row>
    <row r="31" spans="1:9" ht="12.75">
      <c r="A31" s="63" t="s">
        <v>173</v>
      </c>
      <c r="B31" s="63" t="s">
        <v>242</v>
      </c>
      <c r="C31">
        <v>0</v>
      </c>
      <c r="D31">
        <v>19</v>
      </c>
      <c r="E31">
        <v>73.599999999999994</v>
      </c>
      <c r="F31">
        <v>131.31</v>
      </c>
      <c r="G31">
        <v>9.67</v>
      </c>
      <c r="H31">
        <v>48.04</v>
      </c>
      <c r="I31">
        <v>36.58</v>
      </c>
    </row>
    <row r="32" spans="1:9" ht="12.75">
      <c r="A32" s="63" t="s">
        <v>174</v>
      </c>
      <c r="B32" s="63" t="s">
        <v>224</v>
      </c>
      <c r="C32">
        <v>0</v>
      </c>
      <c r="D32">
        <v>372</v>
      </c>
      <c r="E32">
        <v>3550.2</v>
      </c>
      <c r="F32">
        <v>6970.03</v>
      </c>
      <c r="G32">
        <v>1303.3399999999999</v>
      </c>
      <c r="H32">
        <v>2116.4899999999998</v>
      </c>
      <c r="I32">
        <v>30.37</v>
      </c>
    </row>
    <row r="33" spans="1:9" ht="12.75">
      <c r="A33" s="63" t="s">
        <v>175</v>
      </c>
      <c r="B33" s="63" t="s">
        <v>225</v>
      </c>
      <c r="C33">
        <v>0</v>
      </c>
      <c r="D33">
        <v>1012.66</v>
      </c>
      <c r="E33">
        <v>5778.86</v>
      </c>
      <c r="F33">
        <v>11180.58</v>
      </c>
      <c r="G33">
        <v>2028.01</v>
      </c>
      <c r="H33">
        <v>3373.71</v>
      </c>
      <c r="I33">
        <v>30.17</v>
      </c>
    </row>
    <row r="34" spans="1:9" ht="12.75">
      <c r="A34" s="63" t="s">
        <v>176</v>
      </c>
      <c r="B34" s="63" t="s">
        <v>243</v>
      </c>
      <c r="C34">
        <v>0</v>
      </c>
      <c r="D34">
        <v>189</v>
      </c>
      <c r="E34">
        <v>1304.22</v>
      </c>
      <c r="F34">
        <v>2440.33</v>
      </c>
      <c r="G34">
        <v>426.41</v>
      </c>
      <c r="H34">
        <v>709.69</v>
      </c>
      <c r="I34">
        <v>29.08</v>
      </c>
    </row>
    <row r="35" spans="1:9" ht="12.75">
      <c r="A35" s="63" t="s">
        <v>177</v>
      </c>
      <c r="B35" s="63" t="s">
        <v>234</v>
      </c>
      <c r="C35">
        <v>0</v>
      </c>
      <c r="D35">
        <v>193</v>
      </c>
      <c r="E35">
        <v>1221.49</v>
      </c>
      <c r="F35">
        <v>1810.46</v>
      </c>
      <c r="G35">
        <v>175.68</v>
      </c>
      <c r="H35">
        <v>413.29</v>
      </c>
      <c r="I35">
        <v>22.83</v>
      </c>
    </row>
    <row r="36" spans="1:9" ht="12.75">
      <c r="A36" s="63" t="s">
        <v>178</v>
      </c>
      <c r="B36" s="63" t="s">
        <v>244</v>
      </c>
      <c r="C36">
        <v>0</v>
      </c>
      <c r="D36">
        <v>2086</v>
      </c>
      <c r="E36">
        <v>859.74</v>
      </c>
      <c r="F36">
        <v>2135.86</v>
      </c>
      <c r="G36">
        <v>399.39</v>
      </c>
      <c r="H36">
        <v>876.73</v>
      </c>
      <c r="I36">
        <v>41.05</v>
      </c>
    </row>
    <row r="37" spans="1:9" ht="12.75">
      <c r="A37" s="63" t="s">
        <v>179</v>
      </c>
      <c r="B37" s="63" t="s">
        <v>82</v>
      </c>
      <c r="C37">
        <v>0</v>
      </c>
      <c r="D37">
        <v>2118</v>
      </c>
      <c r="E37">
        <v>7211.85</v>
      </c>
      <c r="F37">
        <v>15017.52</v>
      </c>
      <c r="G37">
        <v>2805.45</v>
      </c>
      <c r="H37">
        <v>5000.2299999999996</v>
      </c>
      <c r="I37">
        <v>33.299999999999997</v>
      </c>
    </row>
    <row r="38" spans="1:9" ht="12.75">
      <c r="A38" s="63" t="s">
        <v>180</v>
      </c>
      <c r="B38" s="63" t="s">
        <v>245</v>
      </c>
      <c r="C38">
        <v>0</v>
      </c>
      <c r="D38">
        <v>91</v>
      </c>
      <c r="E38">
        <v>443.75</v>
      </c>
      <c r="F38">
        <v>774.09</v>
      </c>
      <c r="G38">
        <v>95.13</v>
      </c>
      <c r="H38">
        <v>235.21</v>
      </c>
      <c r="I38">
        <v>30.39</v>
      </c>
    </row>
    <row r="39" spans="1:9" ht="12.75">
      <c r="A39" s="63" t="s">
        <v>161</v>
      </c>
      <c r="B39" s="63" t="s">
        <v>235</v>
      </c>
      <c r="C39">
        <v>0</v>
      </c>
      <c r="D39">
        <v>218</v>
      </c>
      <c r="E39">
        <v>479.6</v>
      </c>
      <c r="F39">
        <v>402.42</v>
      </c>
      <c r="G39">
        <v>29.81</v>
      </c>
      <c r="H39">
        <v>-106.99</v>
      </c>
      <c r="I39">
        <v>-26.59</v>
      </c>
    </row>
    <row r="40" spans="1:9" ht="12.75">
      <c r="A40" s="63" t="s">
        <v>162</v>
      </c>
      <c r="B40" s="63" t="s">
        <v>226</v>
      </c>
      <c r="C40">
        <v>0</v>
      </c>
      <c r="D40">
        <v>5487</v>
      </c>
      <c r="E40">
        <v>13442.37</v>
      </c>
      <c r="F40">
        <v>21607.73</v>
      </c>
      <c r="G40">
        <v>3209.37</v>
      </c>
      <c r="H40">
        <v>4955.99</v>
      </c>
      <c r="I40">
        <v>22.94</v>
      </c>
    </row>
    <row r="41" spans="1:9" ht="12.75">
      <c r="A41" s="63" t="s">
        <v>163</v>
      </c>
      <c r="B41" s="63" t="s">
        <v>227</v>
      </c>
      <c r="C41">
        <v>0</v>
      </c>
      <c r="D41">
        <v>1181</v>
      </c>
      <c r="E41">
        <v>4010.18</v>
      </c>
      <c r="F41">
        <v>5748.91</v>
      </c>
      <c r="G41">
        <v>339.62</v>
      </c>
      <c r="H41">
        <v>1399.11</v>
      </c>
      <c r="I41">
        <v>24.34</v>
      </c>
    </row>
    <row r="42" spans="1:9" ht="12.75">
      <c r="A42" s="63" t="s">
        <v>164</v>
      </c>
      <c r="B42" s="63" t="s">
        <v>228</v>
      </c>
      <c r="C42">
        <v>0</v>
      </c>
      <c r="D42">
        <v>3241</v>
      </c>
      <c r="E42">
        <v>5000.6899999999996</v>
      </c>
      <c r="F42">
        <v>8063.72</v>
      </c>
      <c r="G42">
        <v>1476.11</v>
      </c>
      <c r="H42">
        <v>1586.92</v>
      </c>
      <c r="I42">
        <v>19.68</v>
      </c>
    </row>
    <row r="43" spans="1:9" ht="12.75">
      <c r="A43" s="63" t="s">
        <v>165</v>
      </c>
      <c r="B43" s="63" t="s">
        <v>229</v>
      </c>
      <c r="C43">
        <v>0</v>
      </c>
      <c r="D43">
        <v>3231.58</v>
      </c>
      <c r="E43">
        <v>12971.38</v>
      </c>
      <c r="F43">
        <v>18617.13</v>
      </c>
      <c r="G43">
        <v>3357.67</v>
      </c>
      <c r="H43">
        <v>2288.08</v>
      </c>
      <c r="I43">
        <v>12.29</v>
      </c>
    </row>
    <row r="44" spans="1:9" ht="12.75">
      <c r="A44" s="63" t="s">
        <v>166</v>
      </c>
      <c r="B44" s="63" t="s">
        <v>236</v>
      </c>
      <c r="C44">
        <v>0</v>
      </c>
      <c r="D44">
        <v>200</v>
      </c>
      <c r="E44">
        <v>2862.33</v>
      </c>
      <c r="F44">
        <v>5117.54</v>
      </c>
      <c r="G44">
        <v>932</v>
      </c>
      <c r="H44">
        <v>1323.21</v>
      </c>
      <c r="I44">
        <v>25.86</v>
      </c>
    </row>
    <row r="45" spans="1:9" ht="12.75">
      <c r="A45" s="63" t="s">
        <v>167</v>
      </c>
      <c r="B45" s="63" t="s">
        <v>237</v>
      </c>
      <c r="C45">
        <v>0</v>
      </c>
      <c r="D45">
        <v>51</v>
      </c>
      <c r="E45">
        <v>702.57</v>
      </c>
      <c r="F45">
        <v>1655.49</v>
      </c>
      <c r="G45">
        <v>309.56</v>
      </c>
      <c r="H45">
        <v>643.36</v>
      </c>
      <c r="I45">
        <v>38.86</v>
      </c>
    </row>
    <row r="46" spans="1:9" ht="12.75">
      <c r="A46" s="63" t="s">
        <v>168</v>
      </c>
      <c r="B46" s="63" t="s">
        <v>238</v>
      </c>
      <c r="C46">
        <v>0</v>
      </c>
      <c r="D46">
        <v>33</v>
      </c>
      <c r="E46">
        <v>515.92999999999995</v>
      </c>
      <c r="F46">
        <v>828.67</v>
      </c>
      <c r="G46">
        <v>154.94999999999999</v>
      </c>
      <c r="H46">
        <v>157.79</v>
      </c>
      <c r="I46">
        <v>19.04</v>
      </c>
    </row>
    <row r="47" spans="1:9" ht="12.75">
      <c r="A47" s="63" t="s">
        <v>169</v>
      </c>
      <c r="B47" s="63" t="s">
        <v>239</v>
      </c>
      <c r="C47">
        <v>0</v>
      </c>
      <c r="D47">
        <v>626</v>
      </c>
      <c r="E47">
        <v>16122.39</v>
      </c>
      <c r="F47">
        <v>23802.94</v>
      </c>
      <c r="G47">
        <v>4450.96</v>
      </c>
      <c r="H47">
        <v>3229.59</v>
      </c>
      <c r="I47">
        <v>13.57</v>
      </c>
    </row>
    <row r="48" spans="1:9" ht="12.75">
      <c r="A48" s="63" t="s">
        <v>192</v>
      </c>
      <c r="B48" s="63" t="s">
        <v>34</v>
      </c>
      <c r="C48">
        <v>0</v>
      </c>
      <c r="D48">
        <v>8672</v>
      </c>
      <c r="E48">
        <v>4191.58</v>
      </c>
      <c r="F48">
        <v>4337.5</v>
      </c>
      <c r="G48">
        <v>0</v>
      </c>
      <c r="H48">
        <v>145.91999999999999</v>
      </c>
      <c r="I48">
        <v>3.36</v>
      </c>
    </row>
    <row r="49" spans="1:9" ht="12.75">
      <c r="A49" s="63" t="s">
        <v>190</v>
      </c>
      <c r="B49" s="63" t="s">
        <v>240</v>
      </c>
      <c r="C49">
        <v>0</v>
      </c>
      <c r="D49">
        <v>1406</v>
      </c>
      <c r="E49">
        <v>675.48</v>
      </c>
      <c r="F49">
        <v>501.86</v>
      </c>
      <c r="G49">
        <v>93.84</v>
      </c>
      <c r="H49">
        <v>-267.45999999999998</v>
      </c>
      <c r="I49">
        <v>-53.29</v>
      </c>
    </row>
    <row r="50" spans="1:9" ht="12.75">
      <c r="A50" s="63" t="s">
        <v>160</v>
      </c>
      <c r="B50" s="63" t="s">
        <v>160</v>
      </c>
      <c r="D50">
        <v>91937.33</v>
      </c>
      <c r="E50">
        <v>385372.53</v>
      </c>
      <c r="F50">
        <v>573767.09</v>
      </c>
      <c r="G50">
        <v>55923.11</v>
      </c>
      <c r="H50">
        <v>132471.45000000001</v>
      </c>
      <c r="I50">
        <v>23.09</v>
      </c>
    </row>
    <row r="51" spans="1:9" ht="12.75"/>
    <row r="52" spans="1:9" ht="12.75"/>
    <row r="53" spans="1:9" ht="15">
      <c r="A53" s="95" t="s">
        <v>251</v>
      </c>
    </row>
    <row r="54" spans="1:9" ht="12.75"/>
    <row r="57" spans="1:9" ht="14.25" customHeight="1">
      <c r="A57" s="95"/>
    </row>
  </sheetData>
  <phoneticPr fontId="42" type="noConversion"/>
  <pageMargins left="0.48" right="0.38" top="0.55000000000000004" bottom="1" header="0.5" footer="0.5"/>
  <pageSetup paperSize="9" scale="67" orientation="portrait" horizontalDpi="30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tabColor indexed="10"/>
    <pageSetUpPr fitToPage="1"/>
  </sheetPr>
  <dimension ref="A1:I52"/>
  <sheetViews>
    <sheetView showGridLines="0" workbookViewId="0">
      <selection activeCell="I11" sqref="I11"/>
    </sheetView>
  </sheetViews>
  <sheetFormatPr defaultRowHeight="12.75"/>
  <cols>
    <col min="1" max="1" width="7.7109375" customWidth="1"/>
    <col min="2" max="2" width="35.7109375" customWidth="1"/>
    <col min="3" max="9" width="10.7109375" customWidth="1"/>
  </cols>
  <sheetData>
    <row r="1" spans="1:9" ht="15">
      <c r="A1" s="167" t="s">
        <v>252</v>
      </c>
      <c r="B1" s="166"/>
      <c r="C1" s="166"/>
      <c r="D1" s="166"/>
      <c r="E1" s="166"/>
      <c r="F1" s="166"/>
      <c r="G1" s="166"/>
      <c r="H1" s="166"/>
      <c r="I1" s="166"/>
    </row>
    <row r="2" spans="1:9" ht="15">
      <c r="A2" s="167" t="s">
        <v>246</v>
      </c>
      <c r="B2" s="166"/>
      <c r="C2" s="166"/>
      <c r="D2" s="166"/>
      <c r="E2" s="166"/>
      <c r="F2" s="166"/>
      <c r="G2" s="166"/>
      <c r="H2" s="166"/>
      <c r="I2" s="166"/>
    </row>
    <row r="3" spans="1:9" ht="15">
      <c r="A3" s="167"/>
      <c r="B3" s="166"/>
      <c r="C3" s="166"/>
      <c r="D3" s="166"/>
      <c r="E3" s="166"/>
      <c r="F3" s="166"/>
      <c r="G3" s="166"/>
      <c r="H3" s="166"/>
      <c r="I3" s="166"/>
    </row>
    <row r="4" spans="1:9" ht="15">
      <c r="A4" s="167" t="s">
        <v>249</v>
      </c>
      <c r="B4" s="166"/>
      <c r="C4" s="166"/>
      <c r="D4" s="166"/>
      <c r="E4" s="166"/>
      <c r="F4" s="166"/>
      <c r="G4" s="166"/>
      <c r="H4" s="166"/>
      <c r="I4" s="166"/>
    </row>
    <row r="5" spans="1:9" ht="15">
      <c r="A5" s="167" t="s">
        <v>197</v>
      </c>
      <c r="B5" s="166"/>
      <c r="C5" s="166"/>
      <c r="D5" s="166"/>
      <c r="E5" s="166"/>
      <c r="F5" s="166"/>
      <c r="G5" s="166"/>
      <c r="H5" s="166"/>
      <c r="I5" s="166"/>
    </row>
    <row r="7" spans="1:9" ht="45">
      <c r="A7" s="168" t="s">
        <v>198</v>
      </c>
      <c r="B7" s="168" t="s">
        <v>199</v>
      </c>
      <c r="C7" s="168" t="s">
        <v>200</v>
      </c>
      <c r="D7" s="168" t="s">
        <v>201</v>
      </c>
      <c r="E7" s="168" t="s">
        <v>202</v>
      </c>
      <c r="F7" s="168" t="s">
        <v>203</v>
      </c>
      <c r="G7" s="168" t="s">
        <v>204</v>
      </c>
      <c r="H7" s="168" t="s">
        <v>205</v>
      </c>
      <c r="I7" s="168" t="s">
        <v>206</v>
      </c>
    </row>
    <row r="8" spans="1:9" ht="15">
      <c r="A8" s="169" t="s">
        <v>186</v>
      </c>
      <c r="B8" s="169" t="s">
        <v>207</v>
      </c>
      <c r="C8" s="166">
        <v>0</v>
      </c>
      <c r="D8" s="166">
        <v>159</v>
      </c>
      <c r="E8" s="166">
        <v>896.7</v>
      </c>
      <c r="F8" s="166">
        <v>1835.81</v>
      </c>
      <c r="G8" s="166">
        <v>288.26</v>
      </c>
      <c r="H8" s="166">
        <v>650.85</v>
      </c>
      <c r="I8" s="166">
        <v>35.450000000000003</v>
      </c>
    </row>
    <row r="9" spans="1:9" ht="15">
      <c r="A9" s="169" t="s">
        <v>187</v>
      </c>
      <c r="B9" s="169" t="s">
        <v>208</v>
      </c>
      <c r="C9" s="166">
        <v>0</v>
      </c>
      <c r="D9" s="166">
        <v>2</v>
      </c>
      <c r="E9" s="166">
        <v>16</v>
      </c>
      <c r="F9" s="166">
        <v>22.98</v>
      </c>
      <c r="G9" s="166">
        <v>4.3</v>
      </c>
      <c r="H9" s="166">
        <v>2.68</v>
      </c>
      <c r="I9" s="166">
        <v>11.68</v>
      </c>
    </row>
    <row r="10" spans="1:9" ht="15">
      <c r="A10" s="169" t="s">
        <v>188</v>
      </c>
      <c r="B10" s="169" t="s">
        <v>241</v>
      </c>
      <c r="C10" s="166">
        <v>0</v>
      </c>
      <c r="D10" s="166">
        <v>13</v>
      </c>
      <c r="E10" s="166">
        <v>127.83</v>
      </c>
      <c r="F10" s="166">
        <v>221.87</v>
      </c>
      <c r="G10" s="166">
        <v>41.49</v>
      </c>
      <c r="H10" s="166">
        <v>52.55</v>
      </c>
      <c r="I10" s="166">
        <v>23.69</v>
      </c>
    </row>
    <row r="11" spans="1:9" ht="15">
      <c r="A11" s="169" t="s">
        <v>140</v>
      </c>
      <c r="B11" s="169" t="s">
        <v>209</v>
      </c>
      <c r="C11" s="166">
        <v>0</v>
      </c>
      <c r="D11" s="166">
        <v>1337.84</v>
      </c>
      <c r="E11" s="166">
        <f>7507.73-(3453.07-17.66)</f>
        <v>4072.3199999999993</v>
      </c>
      <c r="F11" s="166">
        <f>10738.09-(4800)</f>
        <v>5938.09</v>
      </c>
      <c r="G11" s="166">
        <f>524.42-(172.65+1.41)</f>
        <v>350.35999999999996</v>
      </c>
      <c r="H11" s="166">
        <v>2705.94</v>
      </c>
      <c r="I11" s="166">
        <v>25.2</v>
      </c>
    </row>
    <row r="12" spans="1:9" ht="15">
      <c r="A12" s="169" t="s">
        <v>150</v>
      </c>
      <c r="B12" s="169" t="s">
        <v>211</v>
      </c>
      <c r="C12" s="166">
        <v>0</v>
      </c>
      <c r="D12" s="166">
        <v>140</v>
      </c>
      <c r="E12" s="166">
        <v>913.37</v>
      </c>
      <c r="F12" s="166">
        <v>1431.1</v>
      </c>
      <c r="G12" s="166">
        <v>68.150000000000006</v>
      </c>
      <c r="H12" s="166">
        <v>449.58</v>
      </c>
      <c r="I12" s="166">
        <v>31.42</v>
      </c>
    </row>
    <row r="13" spans="1:9" ht="15">
      <c r="A13" s="169" t="s">
        <v>151</v>
      </c>
      <c r="B13" s="169" t="s">
        <v>212</v>
      </c>
      <c r="C13" s="166">
        <v>0</v>
      </c>
      <c r="D13" s="166">
        <v>156</v>
      </c>
      <c r="E13" s="166">
        <v>963.54</v>
      </c>
      <c r="F13" s="166">
        <v>1421.24</v>
      </c>
      <c r="G13" s="166">
        <v>67.680000000000007</v>
      </c>
      <c r="H13" s="166">
        <v>390.02</v>
      </c>
      <c r="I13" s="166">
        <v>27.44</v>
      </c>
    </row>
    <row r="14" spans="1:9" ht="15">
      <c r="A14" s="169" t="s">
        <v>152</v>
      </c>
      <c r="B14" s="169" t="s">
        <v>213</v>
      </c>
      <c r="C14" s="166">
        <v>0</v>
      </c>
      <c r="D14" s="166">
        <v>26</v>
      </c>
      <c r="E14" s="166">
        <v>144.27000000000001</v>
      </c>
      <c r="F14" s="166">
        <v>222.16</v>
      </c>
      <c r="G14" s="166">
        <v>11.9</v>
      </c>
      <c r="H14" s="166">
        <v>65.989999999999995</v>
      </c>
      <c r="I14" s="166">
        <v>29.7</v>
      </c>
    </row>
    <row r="15" spans="1:9" ht="15">
      <c r="A15" s="169" t="s">
        <v>153</v>
      </c>
      <c r="B15" s="169" t="s">
        <v>214</v>
      </c>
      <c r="C15" s="166">
        <v>0</v>
      </c>
      <c r="D15" s="166">
        <v>3</v>
      </c>
      <c r="E15" s="166">
        <v>15.15</v>
      </c>
      <c r="F15" s="166">
        <v>5.97</v>
      </c>
      <c r="G15" s="166">
        <v>0.28000000000000003</v>
      </c>
      <c r="H15" s="166">
        <v>-9.4600000000000009</v>
      </c>
      <c r="I15" s="166">
        <v>-158.53</v>
      </c>
    </row>
    <row r="16" spans="1:9" ht="15">
      <c r="A16" s="169" t="s">
        <v>154</v>
      </c>
      <c r="B16" s="169" t="s">
        <v>215</v>
      </c>
      <c r="C16" s="166">
        <v>0</v>
      </c>
      <c r="D16" s="166">
        <v>10</v>
      </c>
      <c r="E16" s="166">
        <v>102.77</v>
      </c>
      <c r="F16" s="166">
        <v>140.9</v>
      </c>
      <c r="G16" s="166">
        <v>6.71</v>
      </c>
      <c r="H16" s="166">
        <v>31.42</v>
      </c>
      <c r="I16" s="166">
        <v>22.3</v>
      </c>
    </row>
    <row r="17" spans="1:9" ht="15">
      <c r="A17" s="169" t="s">
        <v>155</v>
      </c>
      <c r="B17" s="169" t="s">
        <v>216</v>
      </c>
      <c r="C17" s="166">
        <v>0</v>
      </c>
      <c r="D17" s="166">
        <v>41.41</v>
      </c>
      <c r="E17" s="166">
        <v>920.84</v>
      </c>
      <c r="F17" s="166">
        <v>1537.99</v>
      </c>
      <c r="G17" s="166">
        <v>73.239999999999995</v>
      </c>
      <c r="H17" s="166">
        <v>543.91999999999996</v>
      </c>
      <c r="I17" s="166">
        <v>35.369999999999997</v>
      </c>
    </row>
    <row r="18" spans="1:9" ht="15">
      <c r="A18" s="169" t="s">
        <v>156</v>
      </c>
      <c r="B18" s="169" t="s">
        <v>217</v>
      </c>
      <c r="C18" s="166">
        <v>0</v>
      </c>
      <c r="D18" s="166">
        <v>215.42</v>
      </c>
      <c r="E18" s="166">
        <v>698.43</v>
      </c>
      <c r="F18" s="166">
        <v>1074.51</v>
      </c>
      <c r="G18" s="166">
        <v>51.86</v>
      </c>
      <c r="H18" s="166">
        <v>324.20999999999998</v>
      </c>
      <c r="I18" s="166">
        <v>30.17</v>
      </c>
    </row>
    <row r="19" spans="1:9" ht="15">
      <c r="A19" s="169" t="s">
        <v>157</v>
      </c>
      <c r="B19" s="169" t="s">
        <v>218</v>
      </c>
      <c r="C19" s="166">
        <v>0</v>
      </c>
      <c r="D19" s="166">
        <v>14.42</v>
      </c>
      <c r="E19" s="166">
        <v>221.15</v>
      </c>
      <c r="F19" s="166">
        <v>277.2</v>
      </c>
      <c r="G19" s="166">
        <v>13.2</v>
      </c>
      <c r="H19" s="166">
        <v>42.84</v>
      </c>
      <c r="I19" s="166">
        <v>15.46</v>
      </c>
    </row>
    <row r="20" spans="1:9" ht="15">
      <c r="A20" s="169" t="s">
        <v>144</v>
      </c>
      <c r="B20" s="169" t="s">
        <v>219</v>
      </c>
      <c r="C20" s="166">
        <v>0</v>
      </c>
      <c r="D20" s="166">
        <v>492</v>
      </c>
      <c r="E20" s="166">
        <v>611.45000000000005</v>
      </c>
      <c r="F20" s="166">
        <v>1063.51</v>
      </c>
      <c r="G20" s="166">
        <v>50.64</v>
      </c>
      <c r="H20" s="166">
        <v>401.42</v>
      </c>
      <c r="I20" s="166">
        <v>37.74</v>
      </c>
    </row>
    <row r="21" spans="1:9" ht="15">
      <c r="A21" s="169" t="s">
        <v>145</v>
      </c>
      <c r="B21" s="169" t="s">
        <v>220</v>
      </c>
      <c r="C21" s="166">
        <v>0</v>
      </c>
      <c r="D21" s="166">
        <v>1.1299999999999999</v>
      </c>
      <c r="E21" s="166">
        <v>43.33</v>
      </c>
      <c r="F21" s="166">
        <v>58.58</v>
      </c>
      <c r="G21" s="166">
        <v>2.79</v>
      </c>
      <c r="H21" s="166">
        <v>12.46</v>
      </c>
      <c r="I21" s="166">
        <v>21.27</v>
      </c>
    </row>
    <row r="22" spans="1:9" ht="15">
      <c r="A22" s="169" t="s">
        <v>146</v>
      </c>
      <c r="B22" s="169" t="s">
        <v>221</v>
      </c>
      <c r="C22" s="166">
        <v>0</v>
      </c>
      <c r="D22" s="166">
        <v>12.82</v>
      </c>
      <c r="E22" s="166">
        <v>352.75</v>
      </c>
      <c r="F22" s="166">
        <v>508.2</v>
      </c>
      <c r="G22" s="166">
        <v>24.2</v>
      </c>
      <c r="H22" s="166">
        <v>131.25</v>
      </c>
      <c r="I22" s="166">
        <v>25.83</v>
      </c>
    </row>
    <row r="23" spans="1:9" ht="15">
      <c r="A23" s="169" t="s">
        <v>148</v>
      </c>
      <c r="B23" s="169" t="s">
        <v>232</v>
      </c>
      <c r="C23" s="166">
        <v>0</v>
      </c>
      <c r="D23" s="166">
        <v>12.76</v>
      </c>
      <c r="E23" s="166">
        <v>292.07</v>
      </c>
      <c r="F23" s="166">
        <v>468.28</v>
      </c>
      <c r="G23" s="166">
        <v>22.3</v>
      </c>
      <c r="H23" s="166">
        <v>153.91</v>
      </c>
      <c r="I23" s="166">
        <v>32.869999999999997</v>
      </c>
    </row>
    <row r="24" spans="1:9" ht="15">
      <c r="A24" s="169" t="s">
        <v>149</v>
      </c>
      <c r="B24" s="169" t="s">
        <v>222</v>
      </c>
      <c r="C24" s="166">
        <v>0</v>
      </c>
      <c r="D24" s="166">
        <v>27.29</v>
      </c>
      <c r="E24" s="166">
        <v>395.91</v>
      </c>
      <c r="F24" s="166">
        <v>767.91</v>
      </c>
      <c r="G24" s="166">
        <v>36.57</v>
      </c>
      <c r="H24" s="166">
        <v>335.44</v>
      </c>
      <c r="I24" s="166">
        <v>43.68</v>
      </c>
    </row>
    <row r="25" spans="1:9" ht="15">
      <c r="A25" s="169" t="s">
        <v>159</v>
      </c>
      <c r="B25" s="169" t="s">
        <v>223</v>
      </c>
      <c r="C25" s="166">
        <v>0</v>
      </c>
      <c r="D25" s="166">
        <v>4.91</v>
      </c>
      <c r="E25" s="166">
        <v>35.979999999999997</v>
      </c>
      <c r="F25" s="166">
        <v>52.93</v>
      </c>
      <c r="G25" s="166">
        <v>2.52</v>
      </c>
      <c r="H25" s="166">
        <v>14.43</v>
      </c>
      <c r="I25" s="166">
        <v>27.26</v>
      </c>
    </row>
    <row r="26" spans="1:9" ht="15">
      <c r="A26" s="169" t="s">
        <v>175</v>
      </c>
      <c r="B26" s="169" t="s">
        <v>225</v>
      </c>
      <c r="C26" s="166">
        <v>0</v>
      </c>
      <c r="D26" s="166">
        <v>1</v>
      </c>
      <c r="E26" s="166">
        <v>6.1</v>
      </c>
      <c r="F26" s="166">
        <v>11.99</v>
      </c>
      <c r="G26" s="166">
        <v>2.2400000000000002</v>
      </c>
      <c r="H26" s="166">
        <v>3.65</v>
      </c>
      <c r="I26" s="166">
        <v>30.43</v>
      </c>
    </row>
    <row r="27" spans="1:9" ht="15">
      <c r="A27" s="169" t="s">
        <v>161</v>
      </c>
      <c r="B27" s="169" t="s">
        <v>235</v>
      </c>
      <c r="C27" s="166">
        <v>0</v>
      </c>
      <c r="D27" s="166">
        <v>1</v>
      </c>
      <c r="E27" s="166">
        <v>2.2000000000000002</v>
      </c>
      <c r="F27" s="166">
        <v>2.69</v>
      </c>
      <c r="G27" s="166">
        <v>0.2</v>
      </c>
      <c r="H27" s="166">
        <v>0.28999999999999998</v>
      </c>
      <c r="I27" s="166">
        <v>10.81</v>
      </c>
    </row>
    <row r="28" spans="1:9" ht="15">
      <c r="A28" s="169" t="s">
        <v>162</v>
      </c>
      <c r="B28" s="169" t="s">
        <v>226</v>
      </c>
      <c r="C28" s="166">
        <v>0</v>
      </c>
      <c r="D28" s="166">
        <v>4</v>
      </c>
      <c r="E28" s="166">
        <v>18.21</v>
      </c>
      <c r="F28" s="166">
        <v>32.86</v>
      </c>
      <c r="G28" s="166">
        <v>6.14</v>
      </c>
      <c r="H28" s="166">
        <v>8.51</v>
      </c>
      <c r="I28" s="166">
        <v>25.88</v>
      </c>
    </row>
    <row r="29" spans="1:9" ht="15">
      <c r="A29" s="169" t="s">
        <v>163</v>
      </c>
      <c r="B29" s="169" t="s">
        <v>227</v>
      </c>
      <c r="C29" s="166">
        <v>0</v>
      </c>
      <c r="D29" s="166">
        <v>5</v>
      </c>
      <c r="E29" s="166">
        <v>36.47</v>
      </c>
      <c r="F29" s="166">
        <v>55.95</v>
      </c>
      <c r="G29" s="166">
        <v>3.77</v>
      </c>
      <c r="H29" s="166">
        <v>15.71</v>
      </c>
      <c r="I29" s="166">
        <v>28.07</v>
      </c>
    </row>
    <row r="30" spans="1:9" ht="15">
      <c r="A30" s="169" t="s">
        <v>165</v>
      </c>
      <c r="B30" s="169" t="s">
        <v>229</v>
      </c>
      <c r="C30" s="166">
        <v>0</v>
      </c>
      <c r="D30" s="166">
        <v>6</v>
      </c>
      <c r="E30" s="166">
        <v>58.14</v>
      </c>
      <c r="F30" s="166">
        <v>66.44</v>
      </c>
      <c r="G30" s="166">
        <v>5.74</v>
      </c>
      <c r="H30" s="166">
        <v>2.56</v>
      </c>
      <c r="I30" s="166">
        <v>3.85</v>
      </c>
    </row>
    <row r="31" spans="1:9" ht="15">
      <c r="A31" s="169" t="s">
        <v>160</v>
      </c>
      <c r="B31" s="169" t="s">
        <v>160</v>
      </c>
      <c r="C31" s="166"/>
      <c r="D31" s="166">
        <v>2686</v>
      </c>
      <c r="E31" s="166">
        <v>14380.39</v>
      </c>
      <c r="F31" s="166">
        <v>22019.16</v>
      </c>
      <c r="G31" s="166">
        <v>1308.6099999999999</v>
      </c>
      <c r="H31" s="166">
        <v>6330.16</v>
      </c>
      <c r="I31" s="166">
        <v>28.75</v>
      </c>
    </row>
    <row r="32" spans="1:9" ht="15">
      <c r="A32" s="161"/>
      <c r="B32" s="161"/>
      <c r="C32" s="159"/>
      <c r="D32" s="159"/>
      <c r="E32" s="159"/>
      <c r="F32" s="159"/>
      <c r="G32" s="159"/>
      <c r="H32" s="159"/>
      <c r="I32" s="159"/>
    </row>
    <row r="33" spans="1:9" ht="15">
      <c r="A33" s="161"/>
      <c r="B33" s="161"/>
      <c r="C33" s="159"/>
      <c r="D33" s="159"/>
      <c r="E33" s="159"/>
      <c r="F33" s="159"/>
      <c r="G33" s="159"/>
      <c r="H33" s="159"/>
      <c r="I33" s="159"/>
    </row>
    <row r="34" spans="1:9" ht="15">
      <c r="A34" s="167" t="s">
        <v>253</v>
      </c>
      <c r="B34" s="161"/>
      <c r="C34" s="159"/>
      <c r="D34" s="159"/>
      <c r="E34" s="159"/>
      <c r="F34" s="159"/>
      <c r="G34" s="159"/>
      <c r="H34" s="159"/>
      <c r="I34" s="159"/>
    </row>
    <row r="35" spans="1:9" ht="15">
      <c r="A35" s="161"/>
      <c r="B35" s="161"/>
      <c r="C35" s="159"/>
      <c r="D35" s="159"/>
      <c r="E35" s="159"/>
      <c r="F35" s="159"/>
      <c r="G35" s="159"/>
      <c r="H35" s="159"/>
      <c r="I35" s="159"/>
    </row>
    <row r="36" spans="1:9" ht="15">
      <c r="A36" s="158"/>
      <c r="B36" s="158"/>
      <c r="C36" s="157"/>
      <c r="D36" s="157"/>
      <c r="E36" s="157"/>
      <c r="F36" s="157"/>
      <c r="G36" s="157"/>
      <c r="H36" s="157"/>
      <c r="I36" s="157"/>
    </row>
    <row r="37" spans="1:9" ht="15">
      <c r="A37" s="158"/>
      <c r="B37" s="158"/>
      <c r="C37" s="157"/>
      <c r="D37" s="157"/>
      <c r="E37" s="157"/>
      <c r="F37" s="157"/>
      <c r="G37" s="157"/>
      <c r="H37" s="157"/>
      <c r="I37" s="157"/>
    </row>
    <row r="38" spans="1:9" ht="15">
      <c r="A38" s="160"/>
      <c r="B38" s="159"/>
      <c r="C38" s="159"/>
      <c r="D38" s="159"/>
      <c r="E38" s="159"/>
      <c r="F38" s="159"/>
      <c r="G38" s="159"/>
      <c r="H38" s="159"/>
      <c r="I38" s="159"/>
    </row>
    <row r="39" spans="1:9" ht="15">
      <c r="A39" s="158"/>
      <c r="B39" s="158"/>
      <c r="C39" s="157"/>
      <c r="D39" s="157"/>
      <c r="E39" s="157"/>
      <c r="F39" s="157"/>
      <c r="G39" s="157"/>
      <c r="H39" s="157"/>
      <c r="I39" s="157"/>
    </row>
    <row r="40" spans="1:9" ht="15">
      <c r="A40" s="158"/>
      <c r="B40" s="158"/>
      <c r="C40" s="157"/>
      <c r="D40" s="157"/>
      <c r="E40" s="157"/>
      <c r="F40" s="157"/>
      <c r="G40" s="157"/>
      <c r="H40" s="157"/>
      <c r="I40" s="157"/>
    </row>
    <row r="41" spans="1:9" ht="15">
      <c r="A41" s="156"/>
      <c r="B41" s="156"/>
      <c r="C41" s="154"/>
      <c r="D41" s="154"/>
      <c r="E41" s="154"/>
      <c r="F41" s="154"/>
      <c r="G41" s="154"/>
      <c r="H41" s="154"/>
      <c r="I41" s="154"/>
    </row>
    <row r="42" spans="1:9" ht="15">
      <c r="A42" s="156"/>
      <c r="B42" s="156"/>
      <c r="C42" s="154"/>
      <c r="D42" s="154"/>
      <c r="E42" s="154"/>
      <c r="F42" s="154"/>
      <c r="G42" s="154"/>
      <c r="H42" s="154"/>
      <c r="I42" s="154"/>
    </row>
    <row r="43" spans="1:9" ht="15">
      <c r="A43" s="156"/>
      <c r="B43" s="156"/>
      <c r="C43" s="154"/>
      <c r="D43" s="154"/>
      <c r="E43" s="154"/>
      <c r="F43" s="154"/>
      <c r="G43" s="154"/>
      <c r="H43" s="154"/>
      <c r="I43" s="154"/>
    </row>
    <row r="44" spans="1:9" ht="15">
      <c r="A44" s="156"/>
      <c r="B44" s="156"/>
      <c r="C44" s="154"/>
      <c r="D44" s="154"/>
      <c r="E44" s="154"/>
      <c r="F44" s="154"/>
      <c r="G44" s="154"/>
      <c r="H44" s="154"/>
      <c r="I44" s="154"/>
    </row>
    <row r="45" spans="1:9" ht="15">
      <c r="A45" s="156"/>
      <c r="B45" s="156"/>
      <c r="C45" s="154"/>
      <c r="D45" s="154"/>
      <c r="E45" s="154"/>
      <c r="F45" s="154"/>
      <c r="G45" s="154"/>
      <c r="H45" s="154"/>
      <c r="I45" s="154"/>
    </row>
    <row r="46" spans="1:9" ht="15">
      <c r="A46" s="156"/>
      <c r="B46" s="156"/>
      <c r="C46" s="154"/>
      <c r="D46" s="154"/>
      <c r="E46" s="154"/>
      <c r="F46" s="154"/>
      <c r="G46" s="154"/>
      <c r="H46" s="154"/>
      <c r="I46" s="154"/>
    </row>
    <row r="47" spans="1:9" ht="15">
      <c r="A47" s="156"/>
      <c r="B47" s="156"/>
      <c r="C47" s="154"/>
      <c r="D47" s="154"/>
      <c r="E47" s="154"/>
      <c r="F47" s="154"/>
      <c r="G47" s="154"/>
      <c r="H47" s="154"/>
      <c r="I47" s="154"/>
    </row>
    <row r="48" spans="1:9">
      <c r="A48" s="63"/>
      <c r="B48" s="63"/>
    </row>
    <row r="49" spans="1:2">
      <c r="A49" s="63"/>
      <c r="B49" s="63"/>
    </row>
    <row r="50" spans="1:2" ht="15">
      <c r="A50" s="155"/>
    </row>
    <row r="52" spans="1:2" ht="15">
      <c r="A52" s="95"/>
    </row>
  </sheetData>
  <pageMargins left="0.48" right="0.38" top="0.55000000000000004" bottom="1" header="0.5" footer="0.5"/>
  <pageSetup paperSize="9" scale="67" orientation="portrait" horizontalDpi="300" verticalDpi="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tabColor indexed="10"/>
    <pageSetUpPr fitToPage="1"/>
  </sheetPr>
  <dimension ref="A1:J23"/>
  <sheetViews>
    <sheetView showGridLines="0" topLeftCell="A3" workbookViewId="0">
      <selection activeCell="B47" sqref="B47:B48"/>
    </sheetView>
  </sheetViews>
  <sheetFormatPr defaultRowHeight="12.75"/>
  <cols>
    <col min="1" max="1" width="7.7109375" customWidth="1"/>
    <col min="2" max="2" width="35.7109375" customWidth="1"/>
    <col min="3" max="9" width="10.7109375" customWidth="1"/>
    <col min="10" max="10" width="0" hidden="1" customWidth="1"/>
  </cols>
  <sheetData>
    <row r="1" spans="1:10" ht="15">
      <c r="A1" s="95"/>
    </row>
    <row r="2" spans="1:10" ht="15">
      <c r="A2" s="95"/>
    </row>
    <row r="3" spans="1:10" ht="15">
      <c r="A3" s="95"/>
    </row>
    <row r="4" spans="1:10" ht="15">
      <c r="A4" s="95"/>
    </row>
    <row r="5" spans="1:10" ht="15">
      <c r="A5" s="95"/>
    </row>
    <row r="7" spans="1:10" ht="15">
      <c r="A7" s="96"/>
      <c r="B7" s="96"/>
      <c r="C7" s="96"/>
      <c r="D7" s="96"/>
      <c r="E7" s="96"/>
      <c r="F7" s="96"/>
      <c r="G7" s="96"/>
      <c r="H7" s="96"/>
      <c r="I7" s="96"/>
      <c r="J7" s="96"/>
    </row>
    <row r="8" spans="1:10">
      <c r="A8" s="63"/>
      <c r="B8" s="63"/>
    </row>
    <row r="9" spans="1:10">
      <c r="A9" s="63"/>
      <c r="B9" s="63"/>
    </row>
    <row r="10" spans="1:10">
      <c r="A10" s="63"/>
      <c r="B10" s="63"/>
    </row>
    <row r="11" spans="1:10">
      <c r="A11" s="63"/>
      <c r="B11" s="63"/>
    </row>
    <row r="12" spans="1:10">
      <c r="A12" s="63"/>
      <c r="B12" s="63"/>
    </row>
    <row r="13" spans="1:10">
      <c r="A13" s="63"/>
      <c r="B13" s="63"/>
    </row>
    <row r="14" spans="1:10">
      <c r="A14" s="63"/>
      <c r="B14" s="63"/>
    </row>
    <row r="15" spans="1:10">
      <c r="A15" s="63"/>
      <c r="B15" s="63"/>
    </row>
    <row r="16" spans="1:10">
      <c r="A16" s="63"/>
      <c r="B16" s="63"/>
    </row>
    <row r="17" spans="1:2">
      <c r="A17" s="63"/>
      <c r="B17" s="63"/>
    </row>
    <row r="18" spans="1:2">
      <c r="A18" s="63"/>
      <c r="B18" s="63"/>
    </row>
    <row r="19" spans="1:2">
      <c r="A19" s="63"/>
      <c r="B19" s="63"/>
    </row>
    <row r="20" spans="1:2">
      <c r="A20" s="63"/>
      <c r="B20" s="63"/>
    </row>
    <row r="23" spans="1:2" ht="15">
      <c r="A23" s="95"/>
    </row>
  </sheetData>
  <pageMargins left="0.48" right="0.38" top="0.55000000000000004" bottom="1" header="0.5" footer="0.5"/>
  <pageSetup paperSize="9" scale="67" orientation="portrait" horizontalDpi="300" verticalDpi="0" copies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tabColor rgb="FFFF0000"/>
  </sheetPr>
  <dimension ref="A1:J16"/>
  <sheetViews>
    <sheetView workbookViewId="0"/>
  </sheetViews>
  <sheetFormatPr defaultRowHeight="12.75"/>
  <cols>
    <col min="2" max="2" width="38.5703125" bestFit="1" customWidth="1"/>
    <col min="3" max="3" width="8.140625" bestFit="1" customWidth="1"/>
    <col min="4" max="4" width="5.7109375" bestFit="1" customWidth="1"/>
    <col min="5" max="5" width="10.140625" bestFit="1" customWidth="1"/>
    <col min="8" max="8" width="10.85546875" bestFit="1" customWidth="1"/>
    <col min="9" max="9" width="7.140625" bestFit="1" customWidth="1"/>
  </cols>
  <sheetData>
    <row r="1" spans="1:10" ht="15">
      <c r="A1" s="77"/>
      <c r="B1" s="76"/>
      <c r="C1" s="76"/>
      <c r="D1" s="76"/>
      <c r="E1" s="76"/>
      <c r="F1" s="76"/>
      <c r="G1" s="76"/>
      <c r="H1" s="76"/>
      <c r="I1" s="76"/>
      <c r="J1" s="76"/>
    </row>
    <row r="2" spans="1:10" ht="15">
      <c r="A2" s="77"/>
      <c r="B2" s="76"/>
      <c r="C2" s="76"/>
      <c r="D2" s="76"/>
      <c r="E2" s="76"/>
      <c r="F2" s="76"/>
      <c r="G2" s="76"/>
      <c r="H2" s="76"/>
      <c r="I2" s="76"/>
      <c r="J2" s="76"/>
    </row>
    <row r="3" spans="1:10" ht="15">
      <c r="A3" s="77"/>
      <c r="B3" s="76"/>
      <c r="C3" s="76"/>
      <c r="D3" s="76"/>
      <c r="E3" s="76"/>
      <c r="F3" s="76"/>
      <c r="G3" s="76"/>
      <c r="H3" s="76"/>
      <c r="I3" s="76"/>
      <c r="J3" s="76"/>
    </row>
    <row r="4" spans="1:10" ht="15">
      <c r="A4" s="77"/>
      <c r="B4" s="76"/>
      <c r="C4" s="76"/>
      <c r="D4" s="76"/>
      <c r="E4" s="76"/>
      <c r="F4" s="76"/>
      <c r="G4" s="76"/>
      <c r="H4" s="76"/>
      <c r="I4" s="76"/>
      <c r="J4" s="76"/>
    </row>
    <row r="5" spans="1:10" ht="15">
      <c r="A5" s="77"/>
      <c r="B5" s="76"/>
      <c r="C5" s="76"/>
      <c r="D5" s="76"/>
      <c r="E5" s="76"/>
      <c r="F5" s="76"/>
      <c r="G5" s="76"/>
      <c r="H5" s="76"/>
      <c r="I5" s="76"/>
      <c r="J5" s="76"/>
    </row>
    <row r="7" spans="1:10" ht="15">
      <c r="A7" s="78"/>
      <c r="B7" s="78"/>
      <c r="C7" s="78"/>
      <c r="D7" s="78"/>
      <c r="E7" s="78"/>
      <c r="F7" s="78"/>
      <c r="G7" s="78"/>
      <c r="H7" s="78"/>
      <c r="I7" s="78"/>
      <c r="J7" s="78"/>
    </row>
    <row r="8" spans="1:10" ht="14.25">
      <c r="A8" s="79"/>
      <c r="B8" s="79"/>
      <c r="C8" s="76"/>
      <c r="D8" s="76"/>
      <c r="E8" s="76"/>
      <c r="F8" s="76"/>
      <c r="G8" s="76"/>
      <c r="H8" s="76"/>
      <c r="I8" s="76"/>
      <c r="J8" s="76"/>
    </row>
    <row r="9" spans="1:10" ht="14.25">
      <c r="A9" s="79"/>
      <c r="B9" s="79"/>
      <c r="C9" s="76"/>
      <c r="D9" s="76"/>
      <c r="E9" s="76"/>
      <c r="F9" s="76"/>
      <c r="G9" s="76"/>
      <c r="H9" s="76"/>
      <c r="I9" s="76"/>
      <c r="J9" s="76"/>
    </row>
    <row r="10" spans="1:10" ht="14.25">
      <c r="A10" s="79"/>
      <c r="B10" s="79"/>
      <c r="C10" s="76"/>
      <c r="D10" s="76"/>
      <c r="E10" s="76"/>
      <c r="F10" s="76"/>
      <c r="G10" s="76"/>
      <c r="H10" s="76"/>
      <c r="I10" s="76"/>
      <c r="J10" s="76"/>
    </row>
    <row r="11" spans="1:10" ht="14.25">
      <c r="A11" s="79"/>
      <c r="B11" s="79"/>
      <c r="C11" s="76"/>
      <c r="D11" s="76"/>
      <c r="E11" s="76"/>
      <c r="F11" s="76"/>
      <c r="G11" s="76"/>
      <c r="H11" s="76"/>
      <c r="I11" s="76"/>
      <c r="J11" s="76"/>
    </row>
    <row r="12" spans="1:10" ht="14.25">
      <c r="A12" s="79"/>
      <c r="B12" s="79"/>
      <c r="C12" s="76"/>
      <c r="D12" s="76"/>
      <c r="E12" s="76"/>
      <c r="F12" s="76"/>
      <c r="G12" s="76"/>
      <c r="H12" s="76"/>
      <c r="I12" s="76"/>
      <c r="J12" s="76"/>
    </row>
    <row r="13" spans="1:10" ht="14.25">
      <c r="A13" s="66"/>
      <c r="B13" s="66"/>
      <c r="C13" s="64"/>
      <c r="D13" s="64"/>
      <c r="E13" s="64"/>
      <c r="F13" s="64"/>
      <c r="G13" s="64"/>
      <c r="H13" s="64"/>
      <c r="I13" s="64"/>
      <c r="J13" s="64"/>
    </row>
    <row r="15" spans="1:10" ht="15">
      <c r="A15" s="77"/>
      <c r="B15" s="76"/>
      <c r="C15" s="76"/>
      <c r="D15" s="76"/>
      <c r="E15" s="76"/>
      <c r="F15" s="76"/>
      <c r="G15" s="76"/>
      <c r="H15" s="76"/>
      <c r="I15" s="76"/>
      <c r="J15" s="76"/>
    </row>
    <row r="16" spans="1:10" ht="15">
      <c r="A16" s="65"/>
      <c r="B16" s="64"/>
      <c r="C16" s="64"/>
      <c r="D16" s="64"/>
      <c r="E16" s="64"/>
      <c r="F16" s="64"/>
      <c r="G16" s="64"/>
      <c r="H16" s="64"/>
      <c r="I16" s="64"/>
      <c r="J16" s="6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 enableFormatConditionsCalculation="0">
    <tabColor indexed="13"/>
  </sheetPr>
  <dimension ref="A2:L60"/>
  <sheetViews>
    <sheetView showGridLines="0" zoomScale="80" zoomScaleNormal="80" workbookViewId="0">
      <pane xSplit="2" ySplit="3" topLeftCell="C4" activePane="bottomRight" state="frozen"/>
      <selection activeCell="J16" sqref="J16"/>
      <selection pane="topRight" activeCell="J16" sqref="J16"/>
      <selection pane="bottomLeft" activeCell="J16" sqref="J16"/>
      <selection pane="bottomRight" activeCell="F4" sqref="F4"/>
    </sheetView>
  </sheetViews>
  <sheetFormatPr defaultRowHeight="14.25" customHeight="1"/>
  <cols>
    <col min="2" max="2" width="36.5703125" bestFit="1" customWidth="1"/>
    <col min="3" max="3" width="9.5703125" bestFit="1" customWidth="1"/>
    <col min="4" max="4" width="9.28515625" bestFit="1" customWidth="1"/>
    <col min="5" max="5" width="8.5703125" bestFit="1" customWidth="1"/>
    <col min="6" max="6" width="9.140625" style="143"/>
    <col min="8" max="8" width="36.5703125" bestFit="1" customWidth="1"/>
    <col min="9" max="9" width="9.5703125" bestFit="1" customWidth="1"/>
    <col min="10" max="10" width="7.42578125" bestFit="1" customWidth="1"/>
    <col min="11" max="11" width="8.5703125" bestFit="1" customWidth="1"/>
    <col min="12" max="12" width="10.28515625" style="143" bestFit="1" customWidth="1"/>
  </cols>
  <sheetData>
    <row r="2" spans="1:12" ht="14.25" customHeight="1">
      <c r="C2">
        <v>2021</v>
      </c>
      <c r="D2">
        <v>2021</v>
      </c>
      <c r="E2">
        <v>2021</v>
      </c>
      <c r="I2">
        <v>2021</v>
      </c>
      <c r="J2">
        <v>2021</v>
      </c>
      <c r="K2">
        <v>2021</v>
      </c>
    </row>
    <row r="3" spans="1:12" ht="14.25" customHeight="1">
      <c r="B3" s="38" t="s">
        <v>68</v>
      </c>
      <c r="C3" s="97" t="s">
        <v>71</v>
      </c>
      <c r="D3" s="97" t="s">
        <v>66</v>
      </c>
      <c r="E3" s="97" t="s">
        <v>72</v>
      </c>
      <c r="F3" s="144" t="s">
        <v>75</v>
      </c>
      <c r="H3" s="38" t="s">
        <v>67</v>
      </c>
      <c r="I3" s="97" t="s">
        <v>71</v>
      </c>
      <c r="J3" s="97" t="s">
        <v>66</v>
      </c>
      <c r="K3" s="97" t="s">
        <v>72</v>
      </c>
      <c r="L3" s="144" t="s">
        <v>75</v>
      </c>
    </row>
    <row r="4" spans="1:12" ht="14.25" customHeight="1">
      <c r="A4" t="s">
        <v>140</v>
      </c>
      <c r="B4" s="39" t="s">
        <v>4</v>
      </c>
      <c r="C4" s="103">
        <f>VLOOKUP($A4,Dane2021!$A:D,4,0)</f>
        <v>0.10194018049310681</v>
      </c>
      <c r="D4" s="103">
        <f>VLOOKUP($A4,Dane2021!$A:H,6,0)</f>
        <v>0.10873978173986573</v>
      </c>
      <c r="E4" s="103">
        <f>VLOOKUP($A4,Dane2021!$A:I,8,0)</f>
        <v>0.10983591749946184</v>
      </c>
      <c r="F4" s="98">
        <v>0.04</v>
      </c>
      <c r="H4" s="39" t="str">
        <f>B4</f>
        <v>14_OWOCE/WARZYWA/ROSLINY</v>
      </c>
      <c r="I4" s="103">
        <f>VLOOKUP($A4,Dane2021!$A:J,3,0)</f>
        <v>0.20125777459306593</v>
      </c>
      <c r="J4" s="103">
        <f>VLOOKUP($A4,Dane2021!$A:N,5,0)</f>
        <v>0.19802836032691212</v>
      </c>
      <c r="K4" s="103">
        <f>VLOOKUP($A4,Dane2021!$A:O,7,0)</f>
        <v>0.19806166098486808</v>
      </c>
      <c r="L4" s="98">
        <v>0.20399999999999999</v>
      </c>
    </row>
    <row r="5" spans="1:12" ht="14.25" customHeight="1">
      <c r="A5" t="s">
        <v>141</v>
      </c>
      <c r="B5" s="39" t="s">
        <v>5</v>
      </c>
      <c r="C5" s="103">
        <f>VLOOKUP(A5,Dane2021!A:D,4,0)</f>
        <v>2.5134112971591429E-3</v>
      </c>
      <c r="D5" s="103">
        <f>VLOOKUP($A5,Dane2021!$A:H,6,0)</f>
        <v>3.1668680591176567E-3</v>
      </c>
      <c r="E5" s="103">
        <f>VLOOKUP($A5,Dane2021!$A:I,8,0)</f>
        <v>4.3889827121582643E-3</v>
      </c>
      <c r="F5" s="98"/>
      <c r="H5" s="39" t="str">
        <f t="shared" ref="H5:H59" si="0">B5</f>
        <v>15_PRODUKTY MORZA TRAD.</v>
      </c>
      <c r="I5" s="103">
        <f>VLOOKUP($A5,Dane2021!$A:J,3,0)</f>
        <v>0.1775768295229227</v>
      </c>
      <c r="J5" s="103">
        <f>VLOOKUP($A5,Dane2021!$A:N,5,0)</f>
        <v>0.20247692954589538</v>
      </c>
      <c r="K5" s="103">
        <f>VLOOKUP($A5,Dane2021!$A:O,7,0)</f>
        <v>0.16106561542403319</v>
      </c>
      <c r="L5" s="98">
        <v>0.16</v>
      </c>
    </row>
    <row r="6" spans="1:12" ht="14.25" customHeight="1">
      <c r="A6" t="s">
        <v>144</v>
      </c>
      <c r="B6" s="39" t="s">
        <v>13</v>
      </c>
      <c r="C6" s="103">
        <f>VLOOKUP(A6,Dane2021!A:D,4,0)</f>
        <v>1.0823925484506416E-2</v>
      </c>
      <c r="D6" s="103">
        <f>VLOOKUP($A6,Dane2021!$A:H,6,0)</f>
        <v>1.2210705762268379E-2</v>
      </c>
      <c r="E6" s="103">
        <f>VLOOKUP($A6,Dane2021!$A:I,8,0)</f>
        <v>1.3019776420060986E-2</v>
      </c>
      <c r="F6" s="98">
        <v>0.03</v>
      </c>
      <c r="H6" s="39" t="str">
        <f t="shared" si="0"/>
        <v>31_PIECZYWO WYPIEK WLASNY</v>
      </c>
      <c r="I6" s="103">
        <f>VLOOKUP($A6,Dane2021!$A:J,3,0)</f>
        <v>0.24493080321404367</v>
      </c>
      <c r="J6" s="103">
        <f>VLOOKUP($A6,Dane2021!$A:N,5,0)</f>
        <v>0.25203489956989439</v>
      </c>
      <c r="K6" s="103">
        <f>VLOOKUP($A6,Dane2021!$A:O,7,0)</f>
        <v>0.2441742902101901</v>
      </c>
      <c r="L6" s="98">
        <v>0.33</v>
      </c>
    </row>
    <row r="7" spans="1:12" ht="14.25" customHeight="1">
      <c r="A7" t="s">
        <v>145</v>
      </c>
      <c r="B7" s="39" t="s">
        <v>14</v>
      </c>
      <c r="C7" s="103">
        <f>VLOOKUP(A7,Dane2021!A:D,4,0)</f>
        <v>1.2686104422671814E-2</v>
      </c>
      <c r="D7" s="103">
        <f>VLOOKUP($A7,Dane2021!$A:H,6,0)</f>
        <v>1.2735228983147114E-2</v>
      </c>
      <c r="E7" s="103">
        <f>VLOOKUP($A7,Dane2021!$A:I,8,0)</f>
        <v>1.1551356579246316E-2</v>
      </c>
      <c r="F7" s="98">
        <v>0.01</v>
      </c>
      <c r="H7" s="39" t="str">
        <f t="shared" si="0"/>
        <v>32_NABIAL TRAD.</v>
      </c>
      <c r="I7" s="103">
        <f>VLOOKUP($A7,Dane2021!$A:J,3,0)</f>
        <v>0.1739462378883902</v>
      </c>
      <c r="J7" s="103">
        <f>VLOOKUP($A7,Dane2021!$A:N,5,0)</f>
        <v>0.17091419874603558</v>
      </c>
      <c r="K7" s="103">
        <f>VLOOKUP($A7,Dane2021!$A:O,7,0)</f>
        <v>0.17667718651616166</v>
      </c>
      <c r="L7" s="98">
        <v>0.17</v>
      </c>
    </row>
    <row r="8" spans="1:12" ht="14.25" customHeight="1">
      <c r="A8" t="s">
        <v>146</v>
      </c>
      <c r="B8" s="39" t="s">
        <v>15</v>
      </c>
      <c r="C8" s="103">
        <f>VLOOKUP(A8,Dane2021!A:D,4,0)</f>
        <v>3.5483755407926532E-2</v>
      </c>
      <c r="D8" s="103">
        <f>VLOOKUP($A8,Dane2021!$A:H,6,0)</f>
        <v>3.5627254425366739E-2</v>
      </c>
      <c r="E8" s="103">
        <f>VLOOKUP($A8,Dane2021!$A:I,8,0)</f>
        <v>2.787385267507567E-2</v>
      </c>
      <c r="F8" s="98">
        <v>0.03</v>
      </c>
      <c r="H8" s="39" t="str">
        <f t="shared" si="0"/>
        <v>33_WEDLINY TRAD.</v>
      </c>
      <c r="I8" s="103">
        <f>VLOOKUP($A8,Dane2021!$A:J,3,0)</f>
        <v>0.22777556752398617</v>
      </c>
      <c r="J8" s="103">
        <f>VLOOKUP($A8,Dane2021!$A:N,5,0)</f>
        <v>0.22229914825971908</v>
      </c>
      <c r="K8" s="103">
        <f>VLOOKUP($A8,Dane2021!$A:O,7,0)</f>
        <v>0.23113895350009436</v>
      </c>
      <c r="L8" s="98">
        <v>0.25</v>
      </c>
    </row>
    <row r="9" spans="1:12" ht="14.25" customHeight="1">
      <c r="A9" t="s">
        <v>147</v>
      </c>
      <c r="B9" s="39" t="s">
        <v>16</v>
      </c>
      <c r="C9" s="103">
        <f>VLOOKUP(A9,Dane2021!A:D,4,0)</f>
        <v>3.8771450649578831E-3</v>
      </c>
      <c r="D9" s="103">
        <f>VLOOKUP($A9,Dane2021!$A:H,6,0)</f>
        <v>5.566859203777118E-3</v>
      </c>
      <c r="E9" s="103">
        <f>VLOOKUP($A9,Dane2021!$A:I,8,0)</f>
        <v>5.6029915484322769E-3</v>
      </c>
      <c r="F9" s="98"/>
      <c r="H9" s="39" t="str">
        <f t="shared" si="0"/>
        <v>34_CIASTKA/SLOD.TRAD</v>
      </c>
      <c r="I9" s="103">
        <f>VLOOKUP($A9,Dane2021!$A:J,3,0)</f>
        <v>0.17053100069295288</v>
      </c>
      <c r="J9" s="103">
        <f>VLOOKUP($A9,Dane2021!$A:N,5,0)</f>
        <v>0.17391632253021677</v>
      </c>
      <c r="K9" s="103">
        <f>VLOOKUP($A9,Dane2021!$A:O,7,0)</f>
        <v>0.17651701920932866</v>
      </c>
      <c r="L9" s="98">
        <v>0.31</v>
      </c>
    </row>
    <row r="10" spans="1:12" ht="14.25" customHeight="1">
      <c r="A10" t="s">
        <v>148</v>
      </c>
      <c r="B10" s="41" t="s">
        <v>17</v>
      </c>
      <c r="C10" s="103">
        <f>VLOOKUP(A10,Dane2021!A:D,4,0)</f>
        <v>2.2509744714602497E-2</v>
      </c>
      <c r="D10" s="103">
        <f>VLOOKUP($A10,Dane2021!$A:H,6,0)</f>
        <v>2.0993019377440435E-2</v>
      </c>
      <c r="E10" s="103">
        <f>VLOOKUP($A10,Dane2021!$A:I,8,0)</f>
        <v>1.9763794113332168E-2</v>
      </c>
      <c r="F10" s="98">
        <v>0.04</v>
      </c>
      <c r="H10" s="39" t="str">
        <f t="shared" si="0"/>
        <v>35_CIASTKA/SLOD.SWIEZE</v>
      </c>
      <c r="I10" s="103">
        <f>VLOOKUP($A10,Dane2021!$A:J,3,0)</f>
        <v>0.21425758057200958</v>
      </c>
      <c r="J10" s="103">
        <f>VLOOKUP($A10,Dane2021!$A:N,5,0)</f>
        <v>0.22502559323538845</v>
      </c>
      <c r="K10" s="103">
        <f>VLOOKUP($A10,Dane2021!$A:O,7,0)</f>
        <v>0.22763758487562202</v>
      </c>
      <c r="L10" s="98">
        <v>0.3</v>
      </c>
    </row>
    <row r="11" spans="1:12" ht="14.25" customHeight="1" thickBot="1">
      <c r="A11" t="s">
        <v>149</v>
      </c>
      <c r="B11" s="41" t="s">
        <v>18</v>
      </c>
      <c r="C11" s="103">
        <f>VLOOKUP(A11,Dane2021!A:D,4,0)</f>
        <v>5.2061451404178897E-3</v>
      </c>
      <c r="D11" s="103">
        <f>VLOOKUP($A11,Dane2021!$A:H,6,0)</f>
        <v>1.1993619418407181E-2</v>
      </c>
      <c r="E11" s="103">
        <f>VLOOKUP($A11,Dane2021!$A:I,8,0)</f>
        <v>9.986938711321532E-3</v>
      </c>
      <c r="F11" s="98">
        <v>0.03</v>
      </c>
      <c r="H11" s="41" t="str">
        <f t="shared" si="0"/>
        <v>36_GARMAZERKA TRAD + GRILL</v>
      </c>
      <c r="I11" s="103">
        <f>VLOOKUP($A11,Dane2021!$A:J,3,0)</f>
        <v>0.29635598155798581</v>
      </c>
      <c r="J11" s="103">
        <f>VLOOKUP($A11,Dane2021!$A:N,5,0)</f>
        <v>0.36250227061342383</v>
      </c>
      <c r="K11" s="103">
        <f>VLOOKUP($A11,Dane2021!$A:O,7,0)</f>
        <v>0.39522111784594516</v>
      </c>
      <c r="L11" s="98">
        <v>0.6</v>
      </c>
    </row>
    <row r="12" spans="1:12" ht="14.25" customHeight="1" thickBot="1">
      <c r="B12" s="42" t="s">
        <v>69</v>
      </c>
      <c r="C12" s="139">
        <f>VLOOKUP($B12,Dane2021!$B:$H,3,0)</f>
        <v>9.3100000000000002E-2</v>
      </c>
      <c r="D12" s="139">
        <f>VLOOKUP($B12,Dane2021!$B:$H,5,0)</f>
        <v>0.10229355522952463</v>
      </c>
      <c r="E12" s="139">
        <f>VLOOKUP($B12,Dane2021!$B:$H,7,0)</f>
        <v>9.218769275962721E-2</v>
      </c>
      <c r="F12" s="98"/>
      <c r="H12" s="42" t="str">
        <f t="shared" si="0"/>
        <v>Razem świeże tradycyjne</v>
      </c>
      <c r="I12" s="139">
        <f>VLOOKUP($B12,Dane2021!$B:$H,2,0)</f>
        <v>0.21926259282982813</v>
      </c>
      <c r="J12" s="139">
        <f>VLOOKUP($B12,Dane2021!$B:$H,4,0)</f>
        <v>0.23319999999999999</v>
      </c>
      <c r="K12" s="139">
        <f>VLOOKUP($B12,Dane2021!$B:$H,6,0)</f>
        <v>0.23652460910162676</v>
      </c>
      <c r="L12" s="99"/>
    </row>
    <row r="13" spans="1:12" ht="14.25" customHeight="1">
      <c r="A13" t="s">
        <v>150</v>
      </c>
      <c r="B13" s="44" t="s">
        <v>6</v>
      </c>
      <c r="C13" s="103">
        <f>VLOOKUP(A13,Dane2021!A:D,4,0)</f>
        <v>2.6977494742677258E-2</v>
      </c>
      <c r="D13" s="103">
        <f>VLOOKUP($A13,Dane2021!$A:H,6,0)</f>
        <v>2.4867268392020692E-2</v>
      </c>
      <c r="E13" s="103">
        <f>VLOOKUP($A13,Dane2021!$A:I,8,0)</f>
        <v>2.5027719660310359E-2</v>
      </c>
      <c r="F13" s="98">
        <v>5.0000000000000001E-3</v>
      </c>
      <c r="H13" s="44" t="str">
        <f t="shared" si="0"/>
        <v>19_MROZONKI</v>
      </c>
      <c r="I13" s="103">
        <f>VLOOKUP($A13,Dane2021!$A:J,3,0)</f>
        <v>0.24161693688539781</v>
      </c>
      <c r="J13" s="103">
        <f>VLOOKUP($A13,Dane2021!$A:N,5,0)</f>
        <v>0.23150645193652941</v>
      </c>
      <c r="K13" s="103">
        <f>VLOOKUP($A13,Dane2021!$A:O,7,0)</f>
        <v>0.2388634078919262</v>
      </c>
      <c r="L13" s="99">
        <v>0.28000000000000003</v>
      </c>
    </row>
    <row r="14" spans="1:12" ht="14.25" customHeight="1">
      <c r="A14" t="s">
        <v>151</v>
      </c>
      <c r="B14" s="39" t="s">
        <v>7</v>
      </c>
      <c r="C14" s="103">
        <f>VLOOKUP(A14,Dane2021!A:D,4,0)</f>
        <v>2.3906223834413345E-2</v>
      </c>
      <c r="D14" s="103">
        <f>VLOOKUP($A14,Dane2021!$A:H,6,0)</f>
        <v>2.2652930395404444E-2</v>
      </c>
      <c r="E14" s="103">
        <f>VLOOKUP($A14,Dane2021!$A:I,8,0)</f>
        <v>2.3839066287253272E-2</v>
      </c>
      <c r="F14" s="98">
        <v>0.03</v>
      </c>
      <c r="H14" s="39" t="str">
        <f t="shared" si="0"/>
        <v>20_WEDLINY SAMOOBSLUGA LS</v>
      </c>
      <c r="I14" s="103">
        <f>VLOOKUP($A14,Dane2021!$A:J,3,0)</f>
        <v>0.21028636120003733</v>
      </c>
      <c r="J14" s="103">
        <f>VLOOKUP($A14,Dane2021!$A:N,5,0)</f>
        <v>0.21540334176224318</v>
      </c>
      <c r="K14" s="103">
        <f>VLOOKUP($A14,Dane2021!$A:O,7,0)</f>
        <v>0.21598804918229839</v>
      </c>
      <c r="L14" s="99">
        <v>0.25</v>
      </c>
    </row>
    <row r="15" spans="1:12" ht="14.25" customHeight="1">
      <c r="A15" t="s">
        <v>152</v>
      </c>
      <c r="B15" s="39" t="s">
        <v>8</v>
      </c>
      <c r="C15" s="103">
        <f>VLOOKUP(A15,Dane2021!A:D,4,0)</f>
        <v>1.1307117238581712E-2</v>
      </c>
      <c r="D15" s="103">
        <f>VLOOKUP($A15,Dane2021!$A:H,6,0)</f>
        <v>1.0903895333032231E-2</v>
      </c>
      <c r="E15" s="103">
        <f>VLOOKUP($A15,Dane2021!$A:I,8,0)</f>
        <v>1.1799167477848514E-2</v>
      </c>
      <c r="F15" s="98">
        <v>0.03</v>
      </c>
      <c r="H15" s="39" t="str">
        <f t="shared" si="0"/>
        <v>21_GARMAZERKA SAMOOBSLUGA LS</v>
      </c>
      <c r="I15" s="103">
        <f>VLOOKUP($A15,Dane2021!$A:J,3,0)</f>
        <v>0.18871300717643447</v>
      </c>
      <c r="J15" s="103">
        <f>VLOOKUP($A15,Dane2021!$A:N,5,0)</f>
        <v>0.18878077910357127</v>
      </c>
      <c r="K15" s="103">
        <f>VLOOKUP($A15,Dane2021!$A:O,7,0)</f>
        <v>0.18644435137083884</v>
      </c>
      <c r="L15" s="99">
        <v>0.28000000000000003</v>
      </c>
    </row>
    <row r="16" spans="1:12" ht="14.25" customHeight="1">
      <c r="A16" t="s">
        <v>153</v>
      </c>
      <c r="B16" s="39" t="s">
        <v>9</v>
      </c>
      <c r="C16" s="103">
        <f>VLOOKUP(A16,Dane2021!A:D,4,0)</f>
        <v>2.7738627948109489E-2</v>
      </c>
      <c r="D16" s="103">
        <f>VLOOKUP($A16,Dane2021!$A:H,6,0)</f>
        <v>2.3903797878193224E-2</v>
      </c>
      <c r="E16" s="103">
        <f>VLOOKUP($A16,Dane2021!$A:I,8,0)</f>
        <v>2.1366480423896921E-2</v>
      </c>
      <c r="F16" s="98">
        <v>0.02</v>
      </c>
      <c r="H16" s="39" t="str">
        <f t="shared" si="0"/>
        <v>22_PIECZYWO CUKIERN.SAMOOBS.</v>
      </c>
      <c r="I16" s="103">
        <f>VLOOKUP($A16,Dane2021!$A:J,3,0)</f>
        <v>0.22617445135907011</v>
      </c>
      <c r="J16" s="103">
        <f>VLOOKUP($A16,Dane2021!$A:N,5,0)</f>
        <v>0.22265192393096661</v>
      </c>
      <c r="K16" s="103">
        <f>VLOOKUP($A16,Dane2021!$A:O,7,0)</f>
        <v>0.21868046654907064</v>
      </c>
      <c r="L16" s="99">
        <v>0.27</v>
      </c>
    </row>
    <row r="17" spans="1:12" ht="14.25" customHeight="1">
      <c r="A17" t="s">
        <v>154</v>
      </c>
      <c r="B17" s="39" t="s">
        <v>10</v>
      </c>
      <c r="C17" s="103">
        <f>VLOOKUP(A17,Dane2021!A:D,4,0)</f>
        <v>5.9286451036110709E-3</v>
      </c>
      <c r="D17" s="103">
        <f>VLOOKUP($A17,Dane2021!$A:H,6,0)</f>
        <v>6.5496049848486606E-3</v>
      </c>
      <c r="E17" s="103">
        <f>VLOOKUP($A17,Dane2021!$A:I,8,0)</f>
        <v>6.5971465028656908E-3</v>
      </c>
      <c r="F17" s="98">
        <v>0.01</v>
      </c>
      <c r="H17" s="39" t="str">
        <f t="shared" si="0"/>
        <v>23_PROD.MORZA SAMOOBSLUGA</v>
      </c>
      <c r="I17" s="103">
        <f>VLOOKUP($A17,Dane2021!$A:J,3,0)</f>
        <v>0.16254553881576714</v>
      </c>
      <c r="J17" s="103">
        <f>VLOOKUP($A17,Dane2021!$A:N,5,0)</f>
        <v>0.16444029504496752</v>
      </c>
      <c r="K17" s="103">
        <f>VLOOKUP($A17,Dane2021!$A:O,7,0)</f>
        <v>0.1628254711895098</v>
      </c>
      <c r="L17" s="99">
        <v>0.18</v>
      </c>
    </row>
    <row r="18" spans="1:12" ht="14.25" customHeight="1">
      <c r="A18" t="s">
        <v>155</v>
      </c>
      <c r="B18" s="39" t="s">
        <v>11</v>
      </c>
      <c r="C18" s="103">
        <f>VLOOKUP(A18,Dane2021!A:D,4,0)</f>
        <v>0.10324044608939437</v>
      </c>
      <c r="D18" s="103">
        <f>VLOOKUP($A18,Dane2021!$A:H,6,0)</f>
        <v>0.12005531883117278</v>
      </c>
      <c r="E18" s="103">
        <f>VLOOKUP($A18,Dane2021!$A:I,8,0)</f>
        <v>0.12027662474238279</v>
      </c>
      <c r="F18" s="98">
        <v>5.0000000000000001E-3</v>
      </c>
      <c r="H18" s="39" t="str">
        <f t="shared" si="0"/>
        <v>24_MIESO SAMOOBSLUGA</v>
      </c>
      <c r="I18" s="103">
        <f>VLOOKUP($A18,Dane2021!$A:J,3,0)</f>
        <v>0.147727144510648</v>
      </c>
      <c r="J18" s="103">
        <f>VLOOKUP($A18,Dane2021!$A:N,5,0)</f>
        <v>0.17419580431714224</v>
      </c>
      <c r="K18" s="103">
        <f>VLOOKUP($A18,Dane2021!$A:O,7,0)</f>
        <v>0.17165879127299699</v>
      </c>
      <c r="L18" s="99">
        <v>0.25</v>
      </c>
    </row>
    <row r="19" spans="1:12" ht="14.25" customHeight="1">
      <c r="A19" t="s">
        <v>156</v>
      </c>
      <c r="B19" s="39" t="s">
        <v>12</v>
      </c>
      <c r="C19" s="103">
        <f>VLOOKUP(A19,Dane2021!A:D,4,0)</f>
        <v>0.11600838523055361</v>
      </c>
      <c r="D19" s="103">
        <f>VLOOKUP($A19,Dane2021!$A:H,6,0)</f>
        <v>0.10665568369538099</v>
      </c>
      <c r="E19" s="103">
        <f>VLOOKUP($A19,Dane2021!$A:I,8,0)</f>
        <v>0.10623008997996383</v>
      </c>
      <c r="F19" s="98">
        <v>0.01</v>
      </c>
      <c r="H19" s="39" t="str">
        <f t="shared" si="0"/>
        <v>25_PRODUKTY SWIEZE SAMOOBSL.</v>
      </c>
      <c r="I19" s="103">
        <f>VLOOKUP($A19,Dane2021!$A:J,3,0)</f>
        <v>0.15740295018644324</v>
      </c>
      <c r="J19" s="103">
        <f>VLOOKUP($A19,Dane2021!$A:N,5,0)</f>
        <v>0.15723859407911286</v>
      </c>
      <c r="K19" s="103">
        <f>VLOOKUP($A19,Dane2021!$A:O,7,0)</f>
        <v>0.16495043762976422</v>
      </c>
      <c r="L19" s="99">
        <v>0.2</v>
      </c>
    </row>
    <row r="20" spans="1:12" ht="14.25" customHeight="1">
      <c r="A20" t="s">
        <v>157</v>
      </c>
      <c r="B20" s="39" t="s">
        <v>84</v>
      </c>
      <c r="C20" s="103">
        <f>VLOOKUP(A20,Dane2021!A:D,4,0)</f>
        <v>4.371195833826569E-3</v>
      </c>
      <c r="D20" s="103">
        <f>VLOOKUP($A20,Dane2021!$A:H,6,0)</f>
        <v>9.6024974239744057E-3</v>
      </c>
      <c r="E20" s="103">
        <f>VLOOKUP($A20,Dane2021!$A:I,8,0)</f>
        <v>1.0172423108643483E-2</v>
      </c>
      <c r="F20" s="98"/>
      <c r="H20" s="39" t="s">
        <v>84</v>
      </c>
      <c r="I20" s="103">
        <f>VLOOKUP($A20,Dane2021!$A:J,3,0)</f>
        <v>0.10737668729151634</v>
      </c>
      <c r="J20" s="103">
        <f>VLOOKUP($A20,Dane2021!$A:N,5,0)</f>
        <v>0.10737738919998602</v>
      </c>
      <c r="K20" s="103">
        <f>VLOOKUP($A20,Dane2021!$A:O,7,0)</f>
        <v>0.10737423895010557</v>
      </c>
      <c r="L20" s="99"/>
    </row>
    <row r="21" spans="1:12" ht="14.25" customHeight="1">
      <c r="A21" t="s">
        <v>158</v>
      </c>
      <c r="B21" s="39" t="s">
        <v>85</v>
      </c>
      <c r="C21" s="103">
        <f>VLOOKUP(A21,Dane2021!A:D,4,0)</f>
        <v>2.6296489860616135E-3</v>
      </c>
      <c r="D21" s="103">
        <f>VLOOKUP($A21,Dane2021!$A:H,6,0)</f>
        <v>8.3346963215770226E-4</v>
      </c>
      <c r="E21" s="103">
        <f>VLOOKUP($A21,Dane2021!$A:I,8,0)</f>
        <v>1.3110922835790093E-3</v>
      </c>
      <c r="F21" s="98"/>
      <c r="H21" s="39" t="s">
        <v>85</v>
      </c>
      <c r="I21" s="103">
        <f>VLOOKUP($A21,Dane2021!$A:J,3,0)</f>
        <v>0.15391202202312226</v>
      </c>
      <c r="J21" s="103">
        <f>VLOOKUP($A21,Dane2021!$A:N,5,0)</f>
        <v>0.15391202202312226</v>
      </c>
      <c r="K21" s="103">
        <f>VLOOKUP($A21,Dane2021!$A:O,7,0)</f>
        <v>0.15391202202312226</v>
      </c>
      <c r="L21" s="99"/>
    </row>
    <row r="22" spans="1:12" ht="14.25" customHeight="1" thickBot="1">
      <c r="A22" t="s">
        <v>159</v>
      </c>
      <c r="B22" s="41" t="s">
        <v>35</v>
      </c>
      <c r="C22" s="103">
        <f>VLOOKUP(A22,Dane2021!A:D,4,0)</f>
        <v>3.3475151847661963E-2</v>
      </c>
      <c r="D22" s="103">
        <f>VLOOKUP($A22,Dane2021!$A:H,6,0)</f>
        <v>3.0597908184367251E-2</v>
      </c>
      <c r="E22" s="103">
        <f>VLOOKUP($A22,Dane2021!$A:I,8,0)</f>
        <v>3.0278860135236157E-2</v>
      </c>
      <c r="F22" s="98">
        <v>5.0000000000000001E-3</v>
      </c>
      <c r="H22" s="41" t="str">
        <f t="shared" si="0"/>
        <v>46_DROB SAMOOBSLUGA</v>
      </c>
      <c r="I22" s="103">
        <f>VLOOKUP($A22,Dane2021!$A:J,3,0)</f>
        <v>0.17077902573350701</v>
      </c>
      <c r="J22" s="103">
        <f>VLOOKUP($A22,Dane2021!$A:N,5,0)</f>
        <v>0.22015980010440983</v>
      </c>
      <c r="K22" s="103">
        <f>VLOOKUP($A22,Dane2021!$A:O,7,0)</f>
        <v>0.18901124994893617</v>
      </c>
      <c r="L22" s="99">
        <v>0.23</v>
      </c>
    </row>
    <row r="23" spans="1:12" ht="14.25" customHeight="1" thickBot="1">
      <c r="A23" t="s">
        <v>184</v>
      </c>
      <c r="B23" s="42" t="s">
        <v>70</v>
      </c>
      <c r="C23" s="139">
        <f>VLOOKUP($B23,Dane2021!$B:$H,3,0)</f>
        <v>0.45752311734799783</v>
      </c>
      <c r="D23" s="139">
        <f>VLOOKUP($B23,Dane2021!$B:$H,5,0)</f>
        <v>0.46536215649041807</v>
      </c>
      <c r="E23" s="139">
        <f>VLOOKUP($B23,Dane2021!$B:$H,7,0)</f>
        <v>0.46673458810144186</v>
      </c>
      <c r="F23" s="98"/>
      <c r="H23" s="42" t="str">
        <f t="shared" si="0"/>
        <v>Razem świeże samoobsługa</v>
      </c>
      <c r="I23" s="139">
        <f>VLOOKUP($B23,Dane2021!$B:$H,2,0)</f>
        <v>0.17821023338033282</v>
      </c>
      <c r="J23" s="139">
        <f>VLOOKUP($B23,Dane2021!$B:$H,4,0)</f>
        <v>0.18524717773028976</v>
      </c>
      <c r="K23" s="139">
        <f>VLOOKUP($B23,Dane2021!$B:$H,6,0)</f>
        <v>0.18428949538158446</v>
      </c>
      <c r="L23" s="99"/>
    </row>
    <row r="24" spans="1:12" ht="14.25" customHeight="1" thickBot="1">
      <c r="A24" t="s">
        <v>185</v>
      </c>
      <c r="B24" s="42" t="s">
        <v>44</v>
      </c>
      <c r="C24" s="139">
        <f>VLOOKUP($B24,Dane2021!$B:$H,3,0)</f>
        <v>0.55062334888024</v>
      </c>
      <c r="D24" s="139">
        <f>VLOOKUP($B24,Dane2021!$B:$H,5,0)</f>
        <v>0.56765571171994267</v>
      </c>
      <c r="E24" s="139">
        <f>VLOOKUP($B24,Dane2021!$B:$H,7,0)</f>
        <v>0.5589222808610691</v>
      </c>
      <c r="F24" s="98"/>
      <c r="G24" s="43"/>
      <c r="H24" s="42" t="str">
        <f t="shared" si="0"/>
        <v>RAZEM Artykuły świeże</v>
      </c>
      <c r="I24" s="139">
        <f>VLOOKUP($B24,Dane2021!$B:$H,2,0)</f>
        <v>0.18515142862289805</v>
      </c>
      <c r="J24" s="139">
        <f>VLOOKUP($B24,Dane2021!$B:$H,4,0)</f>
        <v>0.19388892584789735</v>
      </c>
      <c r="K24" s="139">
        <f>VLOOKUP($B24,Dane2021!$B:$H,6,0)</f>
        <v>0.19290506641852512</v>
      </c>
      <c r="L24" s="99"/>
    </row>
    <row r="25" spans="1:12" ht="14.25" customHeight="1">
      <c r="A25" t="s">
        <v>186</v>
      </c>
      <c r="B25" s="45" t="s">
        <v>0</v>
      </c>
      <c r="C25" s="103">
        <f>VLOOKUP(A25,Dane2021!A:D,4,0)</f>
        <v>0.21932575437821719</v>
      </c>
      <c r="D25" s="103">
        <f>VLOOKUP($A25,Dane2021!$A:H,6,0)</f>
        <v>0.21460157427385082</v>
      </c>
      <c r="E25" s="103">
        <f>VLOOKUP($A25,Dane2021!$A:I,8,0)</f>
        <v>0.21668854556131503</v>
      </c>
      <c r="F25" s="98">
        <v>6.0000000000000001E-3</v>
      </c>
      <c r="H25" s="45" t="str">
        <f t="shared" si="0"/>
        <v>01_DELIKATESY</v>
      </c>
      <c r="I25" s="103">
        <f>VLOOKUP($A25,Dane2021!$A:J,3,0)</f>
        <v>0.1948146263594836</v>
      </c>
      <c r="J25" s="103">
        <f>VLOOKUP($A25,Dane2021!$A:N,5,0)</f>
        <v>0.19246230746822401</v>
      </c>
      <c r="K25" s="103">
        <f>VLOOKUP($A25,Dane2021!$A:O,7,0)</f>
        <v>0.20189894563189581</v>
      </c>
      <c r="L25" s="99">
        <v>0.23</v>
      </c>
    </row>
    <row r="26" spans="1:12" ht="14.25" customHeight="1">
      <c r="A26" t="s">
        <v>187</v>
      </c>
      <c r="B26" s="39" t="s">
        <v>1</v>
      </c>
      <c r="C26" s="103">
        <f>VLOOKUP(A26,Dane2021!A:D,4,0)</f>
        <v>2.982878441291438E-2</v>
      </c>
      <c r="D26" s="103">
        <f>VLOOKUP($A26,Dane2021!$A:H,6,0)</f>
        <v>3.0338845564451614E-2</v>
      </c>
      <c r="E26" s="103">
        <f>VLOOKUP($A26,Dane2021!$A:I,8,0)</f>
        <v>3.2443916385935266E-2</v>
      </c>
      <c r="F26" s="98">
        <v>2E-3</v>
      </c>
      <c r="H26" s="39" t="str">
        <f t="shared" si="0"/>
        <v>02_DROGERIA</v>
      </c>
      <c r="I26" s="103">
        <f>VLOOKUP($A26,Dane2021!$A:J,3,0)</f>
        <v>0.16757456744464677</v>
      </c>
      <c r="J26" s="103">
        <f>VLOOKUP($A26,Dane2021!$A:N,5,0)</f>
        <v>0.16771124112530825</v>
      </c>
      <c r="K26" s="103">
        <f>VLOOKUP($A26,Dane2021!$A:O,7,0)</f>
        <v>0.20293115105984089</v>
      </c>
      <c r="L26" s="99">
        <v>0.22</v>
      </c>
    </row>
    <row r="27" spans="1:12" ht="14.25" customHeight="1">
      <c r="A27" t="s">
        <v>188</v>
      </c>
      <c r="B27" s="39" t="s">
        <v>2</v>
      </c>
      <c r="C27" s="103">
        <f>VLOOKUP(A27,Dane2021!A:D,4,0)</f>
        <v>2.5211796447789044E-2</v>
      </c>
      <c r="D27" s="103">
        <f>VLOOKUP($A27,Dane2021!$A:H,6,0)</f>
        <v>3.1258239806685587E-2</v>
      </c>
      <c r="E27" s="103">
        <f>VLOOKUP($A27,Dane2021!$A:I,8,0)</f>
        <v>3.0508480104635225E-2</v>
      </c>
      <c r="F27" s="98">
        <v>2E-3</v>
      </c>
      <c r="H27" s="39" t="str">
        <f t="shared" si="0"/>
        <v>03_PERFUMERIA</v>
      </c>
      <c r="I27" s="103">
        <f>VLOOKUP($A27,Dane2021!$A:J,3,0)</f>
        <v>0.21650750071685138</v>
      </c>
      <c r="J27" s="103">
        <f>VLOOKUP($A27,Dane2021!$A:N,5,0)</f>
        <v>0.20015154506289634</v>
      </c>
      <c r="K27" s="103">
        <f>VLOOKUP($A27,Dane2021!$A:O,7,0)</f>
        <v>0.2236889310369109</v>
      </c>
      <c r="L27" s="99">
        <v>0.22</v>
      </c>
    </row>
    <row r="28" spans="1:12" ht="14.25" customHeight="1">
      <c r="A28" t="s">
        <v>189</v>
      </c>
      <c r="B28" s="39" t="s">
        <v>3</v>
      </c>
      <c r="C28" s="103">
        <f>VLOOKUP(A28,Dane2021!A:D,4,0)</f>
        <v>2.2348077517649317E-2</v>
      </c>
      <c r="D28" s="103">
        <f>VLOOKUP($A28,Dane2021!$A:H,6,0)</f>
        <v>2.2630490501504955E-2</v>
      </c>
      <c r="E28" s="103">
        <f>VLOOKUP($A28,Dane2021!$A:I,8,0)</f>
        <v>2.3095117499263115E-2</v>
      </c>
      <c r="F28" s="98">
        <v>2E-3</v>
      </c>
      <c r="H28" s="39" t="str">
        <f t="shared" si="0"/>
        <v>04_HIGIENA</v>
      </c>
      <c r="I28" s="103">
        <f>VLOOKUP($A28,Dane2021!$A:J,3,0)</f>
        <v>0.1705124160929645</v>
      </c>
      <c r="J28" s="103">
        <f>VLOOKUP($A28,Dane2021!$A:N,5,0)</f>
        <v>0.16381879960585999</v>
      </c>
      <c r="K28" s="103">
        <f>VLOOKUP($A28,Dane2021!$A:O,7,0)</f>
        <v>0.17276394361596473</v>
      </c>
      <c r="L28" s="99">
        <v>0.23</v>
      </c>
    </row>
    <row r="29" spans="1:12" ht="14.25" customHeight="1">
      <c r="A29" t="s">
        <v>161</v>
      </c>
      <c r="B29" s="39" t="s">
        <v>26</v>
      </c>
      <c r="C29" s="103">
        <f>VLOOKUP(A29,Dane2021!A:D,4,0)</f>
        <v>4.2089467688036865E-4</v>
      </c>
      <c r="D29" s="103">
        <f>VLOOKUP($A29,Dane2021!$A:H,6,0)</f>
        <v>4.742853273978648E-4</v>
      </c>
      <c r="E29" s="103">
        <f>VLOOKUP($A29,Dane2021!$A:I,8,0)</f>
        <v>5.1079799661495669E-4</v>
      </c>
      <c r="F29" s="98"/>
      <c r="H29" s="39" t="str">
        <f t="shared" si="0"/>
        <v>65_CUKIER</v>
      </c>
      <c r="I29" s="103">
        <f>VLOOKUP($A29,Dane2021!$A:J,3,0)</f>
        <v>3.0110656486035302E-2</v>
      </c>
      <c r="J29" s="103">
        <f>VLOOKUP($A29,Dane2021!$A:N,5,0)</f>
        <v>3.5444723088567012E-2</v>
      </c>
      <c r="K29" s="103">
        <f>VLOOKUP($A29,Dane2021!$A:O,7,0)</f>
        <v>3.9931553993998184E-2</v>
      </c>
      <c r="L29" s="99">
        <v>0.05</v>
      </c>
    </row>
    <row r="30" spans="1:12" ht="14.25" customHeight="1">
      <c r="A30" t="s">
        <v>162</v>
      </c>
      <c r="B30" s="39" t="s">
        <v>27</v>
      </c>
      <c r="C30" s="103">
        <f>VLOOKUP(A30,Dane2021!A:D,4,0)</f>
        <v>1.9674840203559807E-2</v>
      </c>
      <c r="D30" s="103">
        <f>VLOOKUP($A30,Dane2021!$A:H,6,0)</f>
        <v>1.593874028337601E-2</v>
      </c>
      <c r="E30" s="103">
        <f>VLOOKUP($A30,Dane2021!$A:I,8,0)</f>
        <v>2.0958219191914172E-2</v>
      </c>
      <c r="F30" s="98">
        <v>3.0000000000000001E-3</v>
      </c>
      <c r="H30" s="39" t="str">
        <f t="shared" si="0"/>
        <v>66_NAPOJE</v>
      </c>
      <c r="I30" s="103">
        <f>VLOOKUP($A30,Dane2021!$A:J,3,0)</f>
        <v>0.10663226967158308</v>
      </c>
      <c r="J30" s="103">
        <f>VLOOKUP($A30,Dane2021!$A:N,5,0)</f>
        <v>0.13690539369197394</v>
      </c>
      <c r="K30" s="103">
        <f>VLOOKUP($A30,Dane2021!$A:O,7,0)</f>
        <v>0.15884629193354985</v>
      </c>
      <c r="L30" s="99">
        <v>0.2</v>
      </c>
    </row>
    <row r="31" spans="1:12" ht="14.25" customHeight="1">
      <c r="A31" t="s">
        <v>163</v>
      </c>
      <c r="B31" s="39" t="s">
        <v>28</v>
      </c>
      <c r="C31" s="103">
        <f>VLOOKUP(A31,Dane2021!A:D,4,0)</f>
        <v>1.3479867791026747E-2</v>
      </c>
      <c r="D31" s="103">
        <f>VLOOKUP($A31,Dane2021!$A:H,6,0)</f>
        <v>1.2279348088614674E-2</v>
      </c>
      <c r="E31" s="103">
        <f>VLOOKUP($A31,Dane2021!$A:I,8,0)</f>
        <v>1.2654477613794231E-2</v>
      </c>
      <c r="F31" s="98">
        <v>3.0000000000000001E-3</v>
      </c>
      <c r="H31" s="39" t="str">
        <f t="shared" si="0"/>
        <v>67_SOKI</v>
      </c>
      <c r="I31" s="103">
        <f>VLOOKUP($A31,Dane2021!$A:J,3,0)</f>
        <v>0.16650417063665118</v>
      </c>
      <c r="J31" s="103">
        <f>VLOOKUP($A31,Dane2021!$A:N,5,0)</f>
        <v>0.16219097971075438</v>
      </c>
      <c r="K31" s="103">
        <f>VLOOKUP($A31,Dane2021!$A:O,7,0)</f>
        <v>0.16256503853073453</v>
      </c>
      <c r="L31" s="99">
        <v>0.23</v>
      </c>
    </row>
    <row r="32" spans="1:12" ht="14.25" customHeight="1">
      <c r="A32" t="s">
        <v>164</v>
      </c>
      <c r="B32" s="39" t="s">
        <v>29</v>
      </c>
      <c r="C32" s="103">
        <f>VLOOKUP(A32,Dane2021!A:D,4,0)</f>
        <v>1.9677635027023407E-2</v>
      </c>
      <c r="D32" s="103">
        <f>VLOOKUP($A32,Dane2021!$A:H,6,0)</f>
        <v>1.7700055341999522E-2</v>
      </c>
      <c r="E32" s="103">
        <f>VLOOKUP($A32,Dane2021!$A:I,8,0)</f>
        <v>1.7394888282324484E-2</v>
      </c>
      <c r="F32" s="98"/>
      <c r="H32" s="39" t="str">
        <f t="shared" si="0"/>
        <v>68_WODY MINERALNE</v>
      </c>
      <c r="I32" s="103">
        <f>VLOOKUP($A32,Dane2021!$A:J,3,0)</f>
        <v>0.14532732264405196</v>
      </c>
      <c r="J32" s="103">
        <f>VLOOKUP($A32,Dane2021!$A:N,5,0)</f>
        <v>0.1470377052727268</v>
      </c>
      <c r="K32" s="103">
        <f>VLOOKUP($A32,Dane2021!$A:O,7,0)</f>
        <v>0.15030156462143154</v>
      </c>
      <c r="L32" s="99">
        <v>0.18</v>
      </c>
    </row>
    <row r="33" spans="1:12" ht="14.25" customHeight="1">
      <c r="A33" t="s">
        <v>165</v>
      </c>
      <c r="B33" s="39" t="s">
        <v>30</v>
      </c>
      <c r="C33" s="103">
        <f>VLOOKUP(A33,Dane2021!A:D,4,0)</f>
        <v>3.8651326912053495E-2</v>
      </c>
      <c r="D33" s="103">
        <f>VLOOKUP($A33,Dane2021!$A:H,6,0)</f>
        <v>3.0873583351711864E-2</v>
      </c>
      <c r="E33" s="103">
        <f>VLOOKUP($A33,Dane2021!$A:I,8,0)</f>
        <v>2.6460799084931749E-2</v>
      </c>
      <c r="F33" s="98">
        <v>3.0000000000000001E-3</v>
      </c>
      <c r="H33" s="39" t="str">
        <f t="shared" si="0"/>
        <v>69_PIWO</v>
      </c>
      <c r="I33" s="103">
        <f>VLOOKUP($A33,Dane2021!$A:J,3,0)</f>
        <v>7.0597995584016054E-2</v>
      </c>
      <c r="J33" s="103">
        <f>VLOOKUP($A33,Dane2021!$A:N,5,0)</f>
        <v>8.0029367573890384E-2</v>
      </c>
      <c r="K33" s="103">
        <f>VLOOKUP($A33,Dane2021!$A:O,7,0)</f>
        <v>9.6316105035009925E-2</v>
      </c>
      <c r="L33" s="99">
        <v>0.12</v>
      </c>
    </row>
    <row r="34" spans="1:12" ht="14.25" customHeight="1">
      <c r="A34" t="s">
        <v>166</v>
      </c>
      <c r="B34" s="39" t="s">
        <v>31</v>
      </c>
      <c r="C34" s="103">
        <f>VLOOKUP(A34,Dane2021!A:D,4,0)</f>
        <v>8.6886051278264598E-3</v>
      </c>
      <c r="D34" s="103">
        <f>VLOOKUP($A34,Dane2021!$A:H,6,0)</f>
        <v>1.0049017456825588E-2</v>
      </c>
      <c r="E34" s="103">
        <f>VLOOKUP($A34,Dane2021!$A:I,8,0)</f>
        <v>1.2569464961105642E-2</v>
      </c>
      <c r="F34" s="98"/>
      <c r="H34" s="39" t="str">
        <f t="shared" si="0"/>
        <v>70_WINA</v>
      </c>
      <c r="I34" s="103">
        <f>VLOOKUP($A34,Dane2021!$A:J,3,0)</f>
        <v>0.23481752954579982</v>
      </c>
      <c r="J34" s="103">
        <f>VLOOKUP($A34,Dane2021!$A:N,5,0)</f>
        <v>0.24769714177013036</v>
      </c>
      <c r="K34" s="103">
        <f>VLOOKUP($A34,Dane2021!$A:O,7,0)</f>
        <v>0.25024031415614117</v>
      </c>
      <c r="L34" s="99">
        <v>0.28000000000000003</v>
      </c>
    </row>
    <row r="35" spans="1:12" ht="14.25" customHeight="1">
      <c r="A35" t="s">
        <v>167</v>
      </c>
      <c r="B35" s="46" t="s">
        <v>32</v>
      </c>
      <c r="C35" s="103">
        <f>VLOOKUP(A35,Dane2021!A:D,4,0)</f>
        <v>1.8736743258513402E-4</v>
      </c>
      <c r="D35" s="103">
        <f>VLOOKUP($A35,Dane2021!$A:H,6,0)</f>
        <v>1.8736743258513402E-4</v>
      </c>
      <c r="E35" s="103">
        <f>VLOOKUP($A35,Dane2021!$A:I,8,0)</f>
        <v>6.192135191819396E-4</v>
      </c>
      <c r="F35" s="98"/>
      <c r="H35" s="46" t="str">
        <f t="shared" si="0"/>
        <v>71_WINA MUSUJĄCE</v>
      </c>
      <c r="I35" s="103">
        <f>VLOOKUP($A35,Dane2021!$A:J,3,0)</f>
        <v>0.20030000000000001</v>
      </c>
      <c r="J35" s="103">
        <f>VLOOKUP($A35,Dane2021!$A:N,5,0)</f>
        <v>0.1923</v>
      </c>
      <c r="K35" s="103">
        <f>VLOOKUP($A35,Dane2021!$A:O,7,0)</f>
        <v>0.20080293556906037</v>
      </c>
      <c r="L35" s="99">
        <v>0.25</v>
      </c>
    </row>
    <row r="36" spans="1:12" ht="14.25" customHeight="1">
      <c r="A36" t="s">
        <v>168</v>
      </c>
      <c r="B36" s="82" t="s">
        <v>81</v>
      </c>
      <c r="C36" s="103">
        <f>VLOOKUP(A36,Dane2021!A:D,4,0)</f>
        <v>1.1528766034935535E-3</v>
      </c>
      <c r="D36" s="103">
        <f>VLOOKUP($A36,Dane2021!$A:H,6,0)</f>
        <v>2.5567732360425694E-4</v>
      </c>
      <c r="E36" s="103">
        <f>VLOOKUP($A36,Dane2021!$A:I,8,0)</f>
        <v>4.8297381462806383E-4</v>
      </c>
      <c r="F36" s="98"/>
      <c r="H36" s="47" t="str">
        <f t="shared" si="0"/>
        <v>72_WERMUTY I WINA DESEROWE</v>
      </c>
      <c r="I36" s="103">
        <f>VLOOKUP($A36,Dane2021!$A:J,3,0)</f>
        <v>0.15054485633702291</v>
      </c>
      <c r="J36" s="103">
        <f>VLOOKUP($A36,Dane2021!$A:N,5,0)</f>
        <v>0.1517648769204723</v>
      </c>
      <c r="K36" s="103">
        <f>VLOOKUP($A36,Dane2021!$A:O,7,0)</f>
        <v>0.15470652431732609</v>
      </c>
      <c r="L36" s="99">
        <v>0.2</v>
      </c>
    </row>
    <row r="37" spans="1:12" ht="14.25" customHeight="1" thickBot="1">
      <c r="A37" t="s">
        <v>169</v>
      </c>
      <c r="B37" s="47" t="s">
        <v>33</v>
      </c>
      <c r="C37" s="103">
        <f>VLOOKUP(A37,Dane2021!A:D,4,0)</f>
        <v>5.073069721033896E-2</v>
      </c>
      <c r="D37" s="103">
        <f>VLOOKUP($A37,Dane2021!$A:H,6,0)</f>
        <v>4.5757063527449383E-2</v>
      </c>
      <c r="E37" s="103">
        <f>VLOOKUP($A37,Dane2021!$A:I,8,0)</f>
        <v>4.669082512328708E-2</v>
      </c>
      <c r="F37" s="98"/>
      <c r="H37" s="47" t="str">
        <f t="shared" si="0"/>
        <v>73_ALKOHOLE MOCNE&gt;=18%</v>
      </c>
      <c r="I37" s="103">
        <f>VLOOKUP($A37,Dane2021!$A:J,3,0)</f>
        <v>0.11278804298573088</v>
      </c>
      <c r="J37" s="103">
        <f>VLOOKUP($A37,Dane2021!$A:N,5,0)</f>
        <v>0.10967590705558858</v>
      </c>
      <c r="K37" s="103">
        <f>VLOOKUP($A37,Dane2021!$A:O,7,0)</f>
        <v>0.12010208003803784</v>
      </c>
      <c r="L37" s="99">
        <v>0.12</v>
      </c>
    </row>
    <row r="38" spans="1:12" ht="14.25" customHeight="1" thickBot="1">
      <c r="A38" t="s">
        <v>185</v>
      </c>
      <c r="B38" s="42" t="s">
        <v>47</v>
      </c>
      <c r="C38" s="139">
        <f>VLOOKUP($B38,Dane2021!$B:$H,3,0)</f>
        <v>0.44937665111976011</v>
      </c>
      <c r="D38" s="139">
        <f>VLOOKUP($B38,Dane2021!$B:$H,5,0)</f>
        <v>0.43234428828005728</v>
      </c>
      <c r="E38" s="139">
        <f>VLOOKUP($B38,Dane2021!$B:$H,7,0)</f>
        <v>0.44107771913893101</v>
      </c>
      <c r="F38" s="98"/>
      <c r="H38" s="42" t="str">
        <f t="shared" si="0"/>
        <v>RAZEM Artykuły suche</v>
      </c>
      <c r="I38" s="139">
        <f>VLOOKUP($B38,Dane2021!$B:$H,2,0)</f>
        <v>0.1667016778528051</v>
      </c>
      <c r="J38" s="139">
        <f>VLOOKUP($B38,Dane2021!$B:$H,4,0)</f>
        <v>0.16931146459481017</v>
      </c>
      <c r="K38" s="139">
        <f>VLOOKUP($B38,Dane2021!$B:$H,6,0)</f>
        <v>0.18289153760656726</v>
      </c>
      <c r="L38" s="99"/>
    </row>
    <row r="39" spans="1:12" ht="14.25" customHeight="1" thickBot="1">
      <c r="A39" t="s">
        <v>185</v>
      </c>
      <c r="B39" s="42" t="s">
        <v>48</v>
      </c>
      <c r="C39" s="141">
        <v>1.0000030000000004</v>
      </c>
      <c r="D39" s="141">
        <v>1.0000030000000004</v>
      </c>
      <c r="E39" s="141">
        <v>1.0000100000000005</v>
      </c>
      <c r="F39" s="98"/>
      <c r="H39" s="42" t="str">
        <f t="shared" si="0"/>
        <v>RAZEM Artykuły spożywcze</v>
      </c>
      <c r="I39" s="139">
        <f>VLOOKUP($B39,Dane2021!$B:$H,2,0)</f>
        <v>0.17686054140783949</v>
      </c>
      <c r="J39" s="139">
        <f>VLOOKUP($B39,Dane2021!$B:$H,4,0)</f>
        <v>0.18326300085470071</v>
      </c>
      <c r="K39" s="139">
        <f>VLOOKUP($B39,Dane2021!$B:$H,6,0)</f>
        <v>0.18848832196961479</v>
      </c>
      <c r="L39" s="99"/>
    </row>
    <row r="40" spans="1:12" ht="14.25" customHeight="1">
      <c r="A40" t="s">
        <v>170</v>
      </c>
      <c r="B40" s="45" t="s">
        <v>36</v>
      </c>
      <c r="C40" s="40"/>
      <c r="D40" s="40"/>
      <c r="E40" s="40"/>
      <c r="F40" s="98"/>
      <c r="H40" s="45" t="str">
        <f t="shared" si="0"/>
        <v>50_WYPOSAZENIE DOMU/DEKORACJE</v>
      </c>
      <c r="I40" s="40"/>
      <c r="J40" s="100"/>
      <c r="K40" s="40"/>
      <c r="L40" s="99"/>
    </row>
    <row r="41" spans="1:12" ht="14.25" customHeight="1">
      <c r="A41" t="s">
        <v>171</v>
      </c>
      <c r="B41" s="39" t="s">
        <v>19</v>
      </c>
      <c r="C41" s="40"/>
      <c r="D41" s="40"/>
      <c r="E41" s="40"/>
      <c r="F41" s="98"/>
      <c r="H41" s="39" t="str">
        <f t="shared" si="0"/>
        <v>51_MAJSTERKOWANIE/AUTO</v>
      </c>
      <c r="I41" s="40"/>
      <c r="J41" s="100"/>
      <c r="K41" s="40"/>
      <c r="L41" s="99">
        <v>0.35</v>
      </c>
    </row>
    <row r="42" spans="1:12" ht="14.25" customHeight="1">
      <c r="A42" t="s">
        <v>172</v>
      </c>
      <c r="B42" s="39" t="s">
        <v>37</v>
      </c>
      <c r="C42" s="40"/>
      <c r="D42" s="40"/>
      <c r="E42" s="40"/>
      <c r="F42" s="98"/>
      <c r="H42" s="39" t="str">
        <f t="shared" si="0"/>
        <v>52_MATERIALY BUDOWLANE</v>
      </c>
      <c r="I42" s="40"/>
      <c r="J42" s="100"/>
      <c r="K42" s="40"/>
      <c r="L42" s="99">
        <v>0.35</v>
      </c>
    </row>
    <row r="43" spans="1:12" ht="14.25" customHeight="1">
      <c r="A43" t="s">
        <v>173</v>
      </c>
      <c r="B43" s="39" t="s">
        <v>20</v>
      </c>
      <c r="C43" s="40"/>
      <c r="D43" s="40"/>
      <c r="E43" s="40"/>
      <c r="F43" s="98"/>
      <c r="H43" s="39" t="str">
        <f t="shared" si="0"/>
        <v>53_OGROD</v>
      </c>
      <c r="I43" s="40"/>
      <c r="J43" s="100"/>
      <c r="K43" s="40"/>
      <c r="L43" s="99">
        <v>0.35</v>
      </c>
    </row>
    <row r="44" spans="1:12" ht="14.25" customHeight="1">
      <c r="A44" t="s">
        <v>174</v>
      </c>
      <c r="B44" s="46" t="s">
        <v>21</v>
      </c>
      <c r="C44" s="40"/>
      <c r="D44" s="40"/>
      <c r="E44" s="40"/>
      <c r="F44" s="98"/>
      <c r="H44" s="46" t="str">
        <f t="shared" si="0"/>
        <v>54_DOM AGD, ELEKTRO AGD</v>
      </c>
      <c r="I44" s="40"/>
      <c r="J44" s="100"/>
      <c r="K44" s="40"/>
      <c r="L44" s="99">
        <v>0.35</v>
      </c>
    </row>
    <row r="45" spans="1:12" ht="14.25" customHeight="1">
      <c r="A45" t="s">
        <v>175</v>
      </c>
      <c r="B45" s="46" t="s">
        <v>22</v>
      </c>
      <c r="C45" s="40"/>
      <c r="D45" s="40"/>
      <c r="E45" s="40"/>
      <c r="F45" s="98"/>
      <c r="H45" s="46" t="str">
        <f t="shared" si="0"/>
        <v>55_KULTURA, ROZRYWKA, SEZONY</v>
      </c>
      <c r="I45" s="40"/>
      <c r="J45" s="100"/>
      <c r="K45" s="40"/>
      <c r="L45" s="99">
        <v>0.31</v>
      </c>
    </row>
    <row r="46" spans="1:12" ht="14.25" customHeight="1">
      <c r="A46" t="s">
        <v>176</v>
      </c>
      <c r="B46" s="46" t="s">
        <v>23</v>
      </c>
      <c r="C46" s="40"/>
      <c r="D46" s="40"/>
      <c r="E46" s="40"/>
      <c r="F46" s="98"/>
      <c r="H46" s="46" t="str">
        <f t="shared" si="0"/>
        <v>56_TEKSTYLIA</v>
      </c>
      <c r="I46" s="40"/>
      <c r="J46" s="100"/>
      <c r="K46" s="40"/>
      <c r="L46" s="99">
        <v>0.33</v>
      </c>
    </row>
    <row r="47" spans="1:12" ht="14.25" customHeight="1">
      <c r="A47" t="s">
        <v>177</v>
      </c>
      <c r="B47" s="39" t="s">
        <v>24</v>
      </c>
      <c r="C47" s="40"/>
      <c r="D47" s="40"/>
      <c r="E47" s="40"/>
      <c r="F47" s="98"/>
      <c r="H47" s="39" t="str">
        <f t="shared" si="0"/>
        <v>57_PRASA</v>
      </c>
      <c r="I47" s="40"/>
      <c r="J47" s="100"/>
      <c r="K47" s="40"/>
      <c r="L47" s="99">
        <v>0.25</v>
      </c>
    </row>
    <row r="48" spans="1:12" ht="14.25" customHeight="1">
      <c r="A48" t="s">
        <v>183</v>
      </c>
      <c r="B48" s="82" t="s">
        <v>80</v>
      </c>
      <c r="C48" s="40"/>
      <c r="D48" s="40"/>
      <c r="E48" s="40"/>
      <c r="F48" s="98"/>
      <c r="H48" s="47" t="str">
        <f t="shared" si="0"/>
        <v>58_BILETY,DOŁAD.,KARTY TEL.</v>
      </c>
      <c r="I48" s="40"/>
      <c r="J48" s="100"/>
      <c r="K48" s="40"/>
      <c r="L48" s="99"/>
    </row>
    <row r="49" spans="1:12" ht="14.25" customHeight="1">
      <c r="A49" t="s">
        <v>178</v>
      </c>
      <c r="B49" s="41" t="s">
        <v>25</v>
      </c>
      <c r="C49" s="40"/>
      <c r="D49" s="40"/>
      <c r="E49" s="40"/>
      <c r="F49" s="98"/>
      <c r="H49" s="41" t="str">
        <f t="shared" si="0"/>
        <v>60_ARTYKULY DLA SKLEPOW</v>
      </c>
      <c r="I49" s="40"/>
      <c r="J49" s="100"/>
      <c r="K49" s="40"/>
      <c r="L49" s="99"/>
    </row>
    <row r="50" spans="1:12" ht="14.25" customHeight="1">
      <c r="A50" t="s">
        <v>179</v>
      </c>
      <c r="B50" s="41" t="s">
        <v>82</v>
      </c>
      <c r="C50" s="40"/>
      <c r="D50" s="40"/>
      <c r="E50" s="40"/>
      <c r="F50" s="98"/>
      <c r="H50" s="41" t="s">
        <v>82</v>
      </c>
      <c r="I50" s="40"/>
      <c r="J50" s="100"/>
      <c r="K50" s="40"/>
      <c r="L50" s="99"/>
    </row>
    <row r="51" spans="1:12" ht="14.25" customHeight="1" thickBot="1">
      <c r="A51" t="s">
        <v>180</v>
      </c>
      <c r="B51" s="41" t="s">
        <v>83</v>
      </c>
      <c r="C51" s="40"/>
      <c r="D51" s="40"/>
      <c r="E51" s="40"/>
      <c r="F51" s="98"/>
      <c r="H51" s="41" t="s">
        <v>83</v>
      </c>
      <c r="I51" s="40"/>
      <c r="J51" s="100"/>
      <c r="K51" s="40"/>
      <c r="L51" s="99"/>
    </row>
    <row r="52" spans="1:12" ht="14.25" customHeight="1" thickBot="1">
      <c r="A52" t="s">
        <v>185</v>
      </c>
      <c r="B52" s="42" t="s">
        <v>50</v>
      </c>
      <c r="C52" s="139">
        <f>VLOOKUP($B52,Dane2021!$B:$H,3,0)</f>
        <v>4.6449743195138782E-2</v>
      </c>
      <c r="D52" s="139">
        <f>VLOOKUP($B52,Dane2021!$B:$H,5,0)</f>
        <v>6.4346590691785638E-2</v>
      </c>
      <c r="E52" s="139">
        <f>VLOOKUP($B52,Dane2021!$B:$H,7,0)</f>
        <v>7.6894936915227016E-2</v>
      </c>
      <c r="F52" s="98"/>
      <c r="H52" s="42" t="str">
        <f t="shared" si="0"/>
        <v>RAZEM Artykuły przemysłowe</v>
      </c>
      <c r="I52" s="139">
        <f>VLOOKUP($B52,Dane2021!$B:$H,2,0)</f>
        <v>0.21817713409620679</v>
      </c>
      <c r="J52" s="139">
        <f>VLOOKUP($B52,Dane2021!$B:$H,4,0)</f>
        <v>0.22372045878314947</v>
      </c>
      <c r="K52" s="139">
        <f>VLOOKUP($B52,Dane2021!$B:$H,6,0)</f>
        <v>0.22754970152185358</v>
      </c>
      <c r="L52" s="99"/>
    </row>
    <row r="53" spans="1:12" ht="14.25" customHeight="1">
      <c r="A53" t="s">
        <v>181</v>
      </c>
      <c r="B53" s="105" t="s">
        <v>194</v>
      </c>
      <c r="C53" s="103">
        <f>VLOOKUP(A53,Dane2021!A:D,4,0)</f>
        <v>4.3899705201946977E-2</v>
      </c>
      <c r="D53" s="103">
        <f>VLOOKUP($A53,Dane2021!$A:H,6,0)</f>
        <v>3.3426940696653765E-2</v>
      </c>
      <c r="E53" s="103">
        <f>VLOOKUP($A53,Dane2021!$A:I,8,0)</f>
        <v>2.949399254669173E-2</v>
      </c>
      <c r="F53" s="98"/>
      <c r="H53" s="48" t="s">
        <v>194</v>
      </c>
      <c r="I53" s="103">
        <f>VLOOKUP($A53,Dane2021!$A:J,3,0)</f>
        <v>6.1645028173156147E-2</v>
      </c>
      <c r="J53" s="103">
        <f>VLOOKUP($A53,Dane2021!$A:N,5,0)</f>
        <v>6.421985241011556E-2</v>
      </c>
      <c r="K53" s="103">
        <f>VLOOKUP($A53,Dane2021!$A:O,7,0)</f>
        <v>5.8953184747977144E-2</v>
      </c>
      <c r="L53" s="99">
        <v>0.03</v>
      </c>
    </row>
    <row r="54" spans="1:12" ht="14.25" customHeight="1">
      <c r="A54" t="s">
        <v>182</v>
      </c>
      <c r="B54" s="48" t="s">
        <v>55</v>
      </c>
      <c r="C54" s="103">
        <v>0</v>
      </c>
      <c r="D54" s="103">
        <v>0</v>
      </c>
      <c r="E54" s="103">
        <v>0</v>
      </c>
      <c r="F54" s="99"/>
      <c r="H54" s="48" t="str">
        <f>B54</f>
        <v>40_PALIWA</v>
      </c>
      <c r="I54" s="103">
        <v>0</v>
      </c>
      <c r="J54" s="103">
        <v>0</v>
      </c>
      <c r="K54" s="103">
        <v>0</v>
      </c>
      <c r="L54" s="99"/>
    </row>
    <row r="55" spans="1:12" ht="14.25" customHeight="1">
      <c r="A55" t="s">
        <v>190</v>
      </c>
      <c r="B55" s="48" t="s">
        <v>54</v>
      </c>
      <c r="C55" s="103">
        <v>0</v>
      </c>
      <c r="D55" s="103">
        <v>0</v>
      </c>
      <c r="E55" s="103">
        <v>0</v>
      </c>
      <c r="F55" s="99"/>
      <c r="H55" s="48" t="str">
        <f>B55</f>
        <v>91_MATERIAŁY PROMOCYJNE</v>
      </c>
      <c r="I55" s="103">
        <v>0</v>
      </c>
      <c r="J55" s="103">
        <v>0</v>
      </c>
      <c r="K55" s="103">
        <v>0</v>
      </c>
      <c r="L55" s="99"/>
    </row>
    <row r="56" spans="1:12" ht="14.25" customHeight="1">
      <c r="A56" t="s">
        <v>191</v>
      </c>
      <c r="B56" s="48" t="s">
        <v>53</v>
      </c>
      <c r="C56" s="103">
        <v>0</v>
      </c>
      <c r="D56" s="103">
        <v>0</v>
      </c>
      <c r="E56" s="103">
        <v>0</v>
      </c>
      <c r="F56" s="99"/>
      <c r="H56" s="48" t="str">
        <f>B56</f>
        <v>99_śmietnik</v>
      </c>
      <c r="I56" s="103">
        <v>0</v>
      </c>
      <c r="J56" s="103">
        <v>0</v>
      </c>
      <c r="K56" s="103">
        <v>0</v>
      </c>
      <c r="L56" s="99"/>
    </row>
    <row r="57" spans="1:12" ht="14.25" customHeight="1">
      <c r="A57" t="s">
        <v>192</v>
      </c>
      <c r="B57" s="48" t="s">
        <v>34</v>
      </c>
      <c r="C57" s="103">
        <v>0</v>
      </c>
      <c r="D57" s="103">
        <v>0</v>
      </c>
      <c r="E57" s="103">
        <v>0</v>
      </c>
      <c r="F57" s="99"/>
      <c r="H57" s="48" t="str">
        <f>B57</f>
        <v>90_PAKOWANIA ZWROTNE-CONSIGNES</v>
      </c>
      <c r="I57" s="103">
        <v>0</v>
      </c>
      <c r="J57" s="103">
        <v>0</v>
      </c>
      <c r="K57" s="103">
        <v>0</v>
      </c>
      <c r="L57" s="99"/>
    </row>
    <row r="58" spans="1:12" ht="14.25" customHeight="1" thickBot="1">
      <c r="A58" t="s">
        <v>193</v>
      </c>
      <c r="B58" s="48" t="s">
        <v>87</v>
      </c>
      <c r="C58" s="103">
        <v>0</v>
      </c>
      <c r="D58" s="103">
        <v>0</v>
      </c>
      <c r="E58" s="103">
        <v>0</v>
      </c>
      <c r="F58" s="99"/>
      <c r="H58" s="48" t="str">
        <f>B58</f>
        <v xml:space="preserve">61_ART.KOSZTOWE DLA SKLEPU    </v>
      </c>
      <c r="I58" s="104"/>
      <c r="J58" s="104"/>
      <c r="K58" s="104"/>
      <c r="L58" s="99"/>
    </row>
    <row r="59" spans="1:12" ht="14.25" customHeight="1" thickBot="1">
      <c r="A59" t="s">
        <v>184</v>
      </c>
      <c r="B59" s="42" t="s">
        <v>38</v>
      </c>
      <c r="C59" s="139">
        <v>1</v>
      </c>
      <c r="D59" s="139">
        <v>1</v>
      </c>
      <c r="E59" s="139">
        <v>1</v>
      </c>
      <c r="F59" s="99"/>
      <c r="H59" s="42" t="str">
        <f t="shared" si="0"/>
        <v>Razem INTERMARCHE</v>
      </c>
      <c r="I59" s="139">
        <f>VLOOKUP($B59,Dane2021!$B:$H,2,0)</f>
        <v>0.17341150584040801</v>
      </c>
      <c r="J59" s="139">
        <f>VLOOKUP($B59,Dane2021!$B:$H,4,0)</f>
        <v>0.18155561391092054</v>
      </c>
      <c r="K59" s="139">
        <f>VLOOKUP($B59,Dane2021!$B:$H,6,0)</f>
        <v>0.18739605891685029</v>
      </c>
      <c r="L59" s="99"/>
    </row>
    <row r="60" spans="1:12" ht="14.25" customHeight="1">
      <c r="B60" s="1"/>
    </row>
  </sheetData>
  <phoneticPr fontId="42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7"/>
  <sheetViews>
    <sheetView workbookViewId="0">
      <pane ySplit="1" topLeftCell="A14" activePane="bottomLeft" state="frozen"/>
      <selection pane="bottomLeft" activeCell="J38" sqref="J38"/>
    </sheetView>
  </sheetViews>
  <sheetFormatPr defaultRowHeight="12.75" outlineLevelCol="1"/>
  <cols>
    <col min="2" max="2" width="39.28515625" bestFit="1" customWidth="1" collapsed="1"/>
    <col min="3" max="8" width="14.42578125" customWidth="1" outlineLevel="1"/>
  </cols>
  <sheetData>
    <row r="1" spans="1:12" ht="13.5" thickBot="1">
      <c r="A1" s="97" t="s">
        <v>139</v>
      </c>
      <c r="B1">
        <v>2</v>
      </c>
      <c r="C1" s="111" t="str">
        <f>CONCATENATE("mcontact",1)</f>
        <v>mcontact1</v>
      </c>
      <c r="D1" s="111" t="str">
        <f>CONCATENATE("qcontact",1)</f>
        <v>qcontact1</v>
      </c>
      <c r="E1" s="111" t="str">
        <f>CONCATENATE("msuper",1)</f>
        <v>msuper1</v>
      </c>
      <c r="F1" s="111" t="str">
        <f>CONCATENATE("qsuper",1)</f>
        <v>qsuper1</v>
      </c>
      <c r="G1" s="111" t="str">
        <f>CONCATENATE("msuper+",1)</f>
        <v>msuper+1</v>
      </c>
      <c r="H1" s="111" t="str">
        <f>CONCATENATE("qsuper+",1)</f>
        <v>qsuper+1</v>
      </c>
    </row>
    <row r="2" spans="1:12">
      <c r="A2" t="s">
        <v>140</v>
      </c>
      <c r="B2" s="106" t="s">
        <v>88</v>
      </c>
      <c r="C2" s="112">
        <v>0.20125777459306593</v>
      </c>
      <c r="D2" s="112">
        <v>0.10194018049310681</v>
      </c>
      <c r="E2" s="112">
        <v>0.19802836032691212</v>
      </c>
      <c r="F2" s="112">
        <v>0.10873978173986573</v>
      </c>
      <c r="G2" s="112">
        <v>0.19806166098486808</v>
      </c>
      <c r="H2" s="112">
        <v>0.10983591749946184</v>
      </c>
    </row>
    <row r="3" spans="1:12">
      <c r="A3" t="s">
        <v>141</v>
      </c>
      <c r="B3" s="106" t="s">
        <v>89</v>
      </c>
      <c r="C3" s="112">
        <v>0.1775768295229227</v>
      </c>
      <c r="D3" s="112">
        <v>2.5134112971591429E-3</v>
      </c>
      <c r="E3" s="112">
        <v>0.20247692954589538</v>
      </c>
      <c r="F3" s="112">
        <v>3.1668680591176567E-3</v>
      </c>
      <c r="G3" s="112">
        <v>0.16106561542403319</v>
      </c>
      <c r="H3" s="112">
        <v>4.3889827121582643E-3</v>
      </c>
    </row>
    <row r="4" spans="1:12">
      <c r="A4" t="s">
        <v>142</v>
      </c>
      <c r="B4" s="106" t="s">
        <v>90</v>
      </c>
      <c r="C4" s="112"/>
      <c r="D4" s="112"/>
      <c r="E4" s="112"/>
      <c r="F4" s="112"/>
      <c r="G4" s="112"/>
      <c r="H4" s="112"/>
    </row>
    <row r="5" spans="1:12">
      <c r="A5" t="s">
        <v>143</v>
      </c>
      <c r="B5" s="106" t="s">
        <v>91</v>
      </c>
      <c r="C5" s="112"/>
      <c r="D5" s="112"/>
      <c r="E5" s="112"/>
      <c r="F5" s="112"/>
      <c r="G5" s="112"/>
      <c r="H5" s="112"/>
    </row>
    <row r="6" spans="1:12" ht="15">
      <c r="A6" t="s">
        <v>144</v>
      </c>
      <c r="B6" s="106" t="s">
        <v>92</v>
      </c>
      <c r="C6" s="113">
        <v>0.24493080321404367</v>
      </c>
      <c r="D6" s="114">
        <v>1.0823925484506416E-2</v>
      </c>
      <c r="E6" s="113">
        <v>0.25203489956989439</v>
      </c>
      <c r="F6" s="114">
        <v>1.2210705762268379E-2</v>
      </c>
      <c r="G6" s="113">
        <v>0.2441742902101901</v>
      </c>
      <c r="H6" s="114">
        <v>1.3019776420060986E-2</v>
      </c>
      <c r="L6" s="43"/>
    </row>
    <row r="7" spans="1:12">
      <c r="A7" t="s">
        <v>145</v>
      </c>
      <c r="B7" s="106" t="s">
        <v>93</v>
      </c>
      <c r="C7" s="112">
        <v>0.1739462378883902</v>
      </c>
      <c r="D7" s="112">
        <v>1.2686104422671814E-2</v>
      </c>
      <c r="E7" s="112">
        <v>0.17091419874603558</v>
      </c>
      <c r="F7" s="112">
        <v>1.2735228983147114E-2</v>
      </c>
      <c r="G7" s="112">
        <v>0.17667718651616166</v>
      </c>
      <c r="H7" s="112">
        <v>1.1551356579246316E-2</v>
      </c>
      <c r="L7" s="43"/>
    </row>
    <row r="8" spans="1:12">
      <c r="A8" t="s">
        <v>146</v>
      </c>
      <c r="B8" s="106" t="s">
        <v>94</v>
      </c>
      <c r="C8" s="112">
        <v>0.22777556752398617</v>
      </c>
      <c r="D8" s="112">
        <v>3.5483755407926532E-2</v>
      </c>
      <c r="E8" s="112">
        <v>0.22229914825971908</v>
      </c>
      <c r="F8" s="112">
        <v>3.5627254425366739E-2</v>
      </c>
      <c r="G8" s="112">
        <v>0.23113895350009436</v>
      </c>
      <c r="H8" s="112">
        <v>2.787385267507567E-2</v>
      </c>
      <c r="L8" s="43"/>
    </row>
    <row r="9" spans="1:12" ht="15">
      <c r="A9" t="s">
        <v>147</v>
      </c>
      <c r="B9" s="106" t="s">
        <v>95</v>
      </c>
      <c r="C9" s="113">
        <v>0.17053100069295288</v>
      </c>
      <c r="D9" s="114">
        <v>3.8771450649578831E-3</v>
      </c>
      <c r="E9" s="113">
        <v>0.17391632253021677</v>
      </c>
      <c r="F9" s="114">
        <v>5.566859203777118E-3</v>
      </c>
      <c r="G9" s="113">
        <v>0.17651701920932866</v>
      </c>
      <c r="H9" s="114">
        <v>5.6029915484322769E-3</v>
      </c>
      <c r="L9" s="43"/>
    </row>
    <row r="10" spans="1:12" ht="15">
      <c r="A10" t="s">
        <v>148</v>
      </c>
      <c r="B10" s="106" t="s">
        <v>96</v>
      </c>
      <c r="C10" s="113">
        <v>0.21425758057200958</v>
      </c>
      <c r="D10" s="114">
        <v>2.2509744714602497E-2</v>
      </c>
      <c r="E10" s="113">
        <v>0.22502559323538845</v>
      </c>
      <c r="F10" s="114">
        <v>2.0993019377440435E-2</v>
      </c>
      <c r="G10" s="113">
        <v>0.22763758487562202</v>
      </c>
      <c r="H10" s="114">
        <v>1.9763794113332168E-2</v>
      </c>
      <c r="L10" s="43"/>
    </row>
    <row r="11" spans="1:12">
      <c r="A11" t="s">
        <v>149</v>
      </c>
      <c r="B11" s="106" t="s">
        <v>97</v>
      </c>
      <c r="C11" s="112">
        <v>0.29635598155798581</v>
      </c>
      <c r="D11" s="112">
        <v>5.2061451404178897E-3</v>
      </c>
      <c r="E11" s="112">
        <v>0.36250227061342383</v>
      </c>
      <c r="F11" s="112">
        <v>1.1993619418407181E-2</v>
      </c>
      <c r="G11" s="112">
        <v>0.39522111784594516</v>
      </c>
      <c r="H11" s="112">
        <v>9.986938711321532E-3</v>
      </c>
      <c r="L11" s="43"/>
    </row>
    <row r="12" spans="1:12" ht="15">
      <c r="B12" s="107" t="s">
        <v>69</v>
      </c>
      <c r="C12" s="115">
        <v>0.21926259282982813</v>
      </c>
      <c r="D12" s="116">
        <v>9.3100000000000002E-2</v>
      </c>
      <c r="E12" s="115">
        <v>0.23319999999999999</v>
      </c>
      <c r="F12" s="116">
        <v>0.10229355522952463</v>
      </c>
      <c r="G12" s="115">
        <v>0.23652460910162676</v>
      </c>
      <c r="H12" s="116">
        <v>9.218769275962721E-2</v>
      </c>
      <c r="I12" s="140">
        <f>VLOOKUP($B12,Dane2021!$B:$H,2,0)</f>
        <v>0.21926259282982813</v>
      </c>
      <c r="J12" s="140">
        <f>VLOOKUP($B12,Dane2021!$B:$H,4,0)</f>
        <v>0.23319999999999999</v>
      </c>
      <c r="K12" s="140">
        <f>VLOOKUP($B12,Dane2021!$B:$H,6,0)</f>
        <v>0.23652460910162676</v>
      </c>
      <c r="L12" s="43"/>
    </row>
    <row r="13" spans="1:12" ht="15">
      <c r="B13" s="106" t="s">
        <v>98</v>
      </c>
      <c r="C13" s="115"/>
      <c r="D13" s="117"/>
      <c r="E13" s="112"/>
      <c r="F13" s="117"/>
      <c r="G13" s="112"/>
      <c r="H13" s="117"/>
    </row>
    <row r="14" spans="1:12">
      <c r="A14" t="s">
        <v>150</v>
      </c>
      <c r="B14" s="106" t="s">
        <v>99</v>
      </c>
      <c r="C14" s="112">
        <v>0.24161693688539781</v>
      </c>
      <c r="D14" s="112">
        <v>2.6977494742677258E-2</v>
      </c>
      <c r="E14" s="112">
        <v>0.23150645193652941</v>
      </c>
      <c r="F14" s="112">
        <v>2.4867268392020692E-2</v>
      </c>
      <c r="G14" s="112">
        <v>0.2388634078919262</v>
      </c>
      <c r="H14" s="112">
        <v>2.5027719660310359E-2</v>
      </c>
    </row>
    <row r="15" spans="1:12">
      <c r="A15" t="s">
        <v>151</v>
      </c>
      <c r="B15" s="106" t="s">
        <v>100</v>
      </c>
      <c r="C15" s="112">
        <v>0.21028636120003733</v>
      </c>
      <c r="D15" s="112">
        <v>2.3906223834413345E-2</v>
      </c>
      <c r="E15" s="112">
        <v>0.21540334176224318</v>
      </c>
      <c r="F15" s="112">
        <v>2.2652930395404444E-2</v>
      </c>
      <c r="G15" s="112">
        <v>0.21598804918229839</v>
      </c>
      <c r="H15" s="112">
        <v>2.3839066287253272E-2</v>
      </c>
    </row>
    <row r="16" spans="1:12">
      <c r="A16" t="s">
        <v>152</v>
      </c>
      <c r="B16" s="106" t="s">
        <v>101</v>
      </c>
      <c r="C16" s="112">
        <v>0.18871300717643447</v>
      </c>
      <c r="D16" s="112">
        <v>1.1307117238581712E-2</v>
      </c>
      <c r="E16" s="112">
        <v>0.18878077910357127</v>
      </c>
      <c r="F16" s="112">
        <v>1.0903895333032231E-2</v>
      </c>
      <c r="G16" s="112">
        <v>0.18644435137083884</v>
      </c>
      <c r="H16" s="112">
        <v>1.1799167477848514E-2</v>
      </c>
    </row>
    <row r="17" spans="1:8">
      <c r="A17" t="s">
        <v>153</v>
      </c>
      <c r="B17" s="106" t="s">
        <v>102</v>
      </c>
      <c r="C17" s="112">
        <v>0.22617445135907011</v>
      </c>
      <c r="D17" s="112">
        <v>2.7738627948109489E-2</v>
      </c>
      <c r="E17" s="112">
        <v>0.22265192393096661</v>
      </c>
      <c r="F17" s="112">
        <v>2.3903797878193224E-2</v>
      </c>
      <c r="G17" s="112">
        <v>0.21868046654907064</v>
      </c>
      <c r="H17" s="112">
        <v>2.1366480423896921E-2</v>
      </c>
    </row>
    <row r="18" spans="1:8">
      <c r="A18" t="s">
        <v>154</v>
      </c>
      <c r="B18" s="106" t="s">
        <v>103</v>
      </c>
      <c r="C18" s="112">
        <v>0.16254553881576714</v>
      </c>
      <c r="D18" s="112">
        <v>5.9286451036110709E-3</v>
      </c>
      <c r="E18" s="112">
        <v>0.16444029504496752</v>
      </c>
      <c r="F18" s="112">
        <v>6.5496049848486606E-3</v>
      </c>
      <c r="G18" s="112">
        <v>0.1628254711895098</v>
      </c>
      <c r="H18" s="112">
        <v>6.5971465028656908E-3</v>
      </c>
    </row>
    <row r="19" spans="1:8">
      <c r="A19" t="s">
        <v>155</v>
      </c>
      <c r="B19" s="108" t="s">
        <v>104</v>
      </c>
      <c r="C19" s="118">
        <v>0.147727144510648</v>
      </c>
      <c r="D19" s="118">
        <v>0.10324044608939437</v>
      </c>
      <c r="E19" s="118">
        <v>0.17419580431714224</v>
      </c>
      <c r="F19" s="118">
        <v>0.12005531883117278</v>
      </c>
      <c r="G19" s="118">
        <v>0.17165879127299699</v>
      </c>
      <c r="H19" s="118">
        <v>0.12027662474238279</v>
      </c>
    </row>
    <row r="20" spans="1:8">
      <c r="A20" t="s">
        <v>156</v>
      </c>
      <c r="B20" s="106" t="s">
        <v>105</v>
      </c>
      <c r="C20" s="112">
        <v>0.15740295018644324</v>
      </c>
      <c r="D20" s="112">
        <v>0.11600838523055361</v>
      </c>
      <c r="E20" s="112">
        <v>0.15723859407911286</v>
      </c>
      <c r="F20" s="112">
        <v>0.10665568369538099</v>
      </c>
      <c r="G20" s="112">
        <v>0.16495043762976422</v>
      </c>
      <c r="H20" s="112">
        <v>0.10623008997996383</v>
      </c>
    </row>
    <row r="21" spans="1:8">
      <c r="A21" t="s">
        <v>157</v>
      </c>
      <c r="B21" s="106" t="s">
        <v>106</v>
      </c>
      <c r="C21" s="112">
        <v>0.10737668729151634</v>
      </c>
      <c r="D21" s="112">
        <v>4.371195833826569E-3</v>
      </c>
      <c r="E21" s="112">
        <v>0.10737738919998602</v>
      </c>
      <c r="F21" s="112">
        <v>9.6024974239744057E-3</v>
      </c>
      <c r="G21" s="112">
        <v>0.10737423895010557</v>
      </c>
      <c r="H21" s="112">
        <v>1.0172423108643483E-2</v>
      </c>
    </row>
    <row r="22" spans="1:8">
      <c r="A22" t="s">
        <v>158</v>
      </c>
      <c r="B22" s="106" t="s">
        <v>107</v>
      </c>
      <c r="C22" s="112">
        <v>0.15391202202312226</v>
      </c>
      <c r="D22" s="112">
        <v>2.6296489860616135E-3</v>
      </c>
      <c r="E22" s="112">
        <v>0.15391202202312226</v>
      </c>
      <c r="F22" s="112">
        <v>8.3346963215770226E-4</v>
      </c>
      <c r="G22" s="112">
        <v>0.15391202202312226</v>
      </c>
      <c r="H22" s="112">
        <v>1.3110922835790093E-3</v>
      </c>
    </row>
    <row r="23" spans="1:8">
      <c r="A23" t="s">
        <v>159</v>
      </c>
      <c r="B23" s="106" t="s">
        <v>108</v>
      </c>
      <c r="C23" s="145">
        <v>0.17077902573350701</v>
      </c>
      <c r="D23" s="145">
        <v>3.3475151847661963E-2</v>
      </c>
      <c r="E23" s="145">
        <v>0.22015980010440983</v>
      </c>
      <c r="F23" s="112">
        <v>3.0597908184367251E-2</v>
      </c>
      <c r="G23" s="112">
        <v>0.18901124994893617</v>
      </c>
      <c r="H23" s="112">
        <v>3.0278860135236157E-2</v>
      </c>
    </row>
    <row r="24" spans="1:8" ht="15">
      <c r="B24" s="107" t="s">
        <v>70</v>
      </c>
      <c r="C24" s="146">
        <v>0.17821023338033282</v>
      </c>
      <c r="D24" s="147">
        <f>SUM(D14:D23)+D2</f>
        <v>0.45752311734799783</v>
      </c>
      <c r="E24" s="140">
        <v>0.18524717773028976</v>
      </c>
      <c r="F24" s="116">
        <v>0.46536215649041807</v>
      </c>
      <c r="G24" s="115">
        <v>0.18428949538158446</v>
      </c>
      <c r="H24" s="116">
        <v>0.46673458810144186</v>
      </c>
    </row>
    <row r="25" spans="1:8" ht="15" thickBot="1">
      <c r="B25" s="106" t="s">
        <v>109</v>
      </c>
      <c r="C25" s="112"/>
      <c r="D25" s="119"/>
      <c r="E25" s="112"/>
      <c r="F25" s="119"/>
      <c r="G25" s="112"/>
      <c r="H25" s="119"/>
    </row>
    <row r="26" spans="1:8" ht="15.75" thickBot="1">
      <c r="B26" s="42" t="s">
        <v>44</v>
      </c>
      <c r="C26" s="120">
        <v>0.18515142862289805</v>
      </c>
      <c r="D26" s="121">
        <v>0.55062334888024</v>
      </c>
      <c r="E26" s="120">
        <v>0.19388892584789735</v>
      </c>
      <c r="F26" s="121">
        <v>0.56765571171994267</v>
      </c>
      <c r="G26" s="120">
        <v>0.19290506641852512</v>
      </c>
      <c r="H26" s="121">
        <v>0.5589222808610691</v>
      </c>
    </row>
    <row r="27" spans="1:8" ht="15">
      <c r="A27" t="s">
        <v>160</v>
      </c>
      <c r="B27" s="106"/>
      <c r="C27" s="122" t="s">
        <v>138</v>
      </c>
      <c r="D27" s="122" t="s">
        <v>138</v>
      </c>
      <c r="E27" s="122" t="s">
        <v>138</v>
      </c>
      <c r="F27" s="122" t="s">
        <v>138</v>
      </c>
      <c r="G27" s="122" t="s">
        <v>138</v>
      </c>
      <c r="H27" s="122" t="s">
        <v>138</v>
      </c>
    </row>
    <row r="28" spans="1:8">
      <c r="A28" t="s">
        <v>186</v>
      </c>
      <c r="B28" s="106" t="s">
        <v>110</v>
      </c>
      <c r="C28" s="112">
        <v>0.1948146263594836</v>
      </c>
      <c r="D28" s="112">
        <v>0.21932575437821719</v>
      </c>
      <c r="E28" s="112">
        <v>0.19246230746822401</v>
      </c>
      <c r="F28" s="112">
        <v>0.21460157427385082</v>
      </c>
      <c r="G28" s="112">
        <v>0.20189894563189581</v>
      </c>
      <c r="H28" s="112">
        <v>0.21668854556131503</v>
      </c>
    </row>
    <row r="29" spans="1:8">
      <c r="A29" t="s">
        <v>187</v>
      </c>
      <c r="B29" s="106" t="s">
        <v>111</v>
      </c>
      <c r="C29" s="112">
        <v>0.16757456744464677</v>
      </c>
      <c r="D29" s="112">
        <v>2.982878441291438E-2</v>
      </c>
      <c r="E29" s="112">
        <v>0.16771124112530825</v>
      </c>
      <c r="F29" s="112">
        <v>3.0338845564451614E-2</v>
      </c>
      <c r="G29" s="112">
        <v>0.20293115105984089</v>
      </c>
      <c r="H29" s="112">
        <v>3.2443916385935266E-2</v>
      </c>
    </row>
    <row r="30" spans="1:8">
      <c r="A30" t="s">
        <v>188</v>
      </c>
      <c r="B30" s="106" t="s">
        <v>112</v>
      </c>
      <c r="C30" s="112">
        <v>0.21650750071685138</v>
      </c>
      <c r="D30" s="112">
        <v>2.5211796447789044E-2</v>
      </c>
      <c r="E30" s="112">
        <v>0.20015154506289634</v>
      </c>
      <c r="F30" s="112">
        <v>3.1258239806685587E-2</v>
      </c>
      <c r="G30" s="112">
        <v>0.2236889310369109</v>
      </c>
      <c r="H30" s="112">
        <v>3.0508480104635225E-2</v>
      </c>
    </row>
    <row r="31" spans="1:8">
      <c r="A31" t="s">
        <v>189</v>
      </c>
      <c r="B31" s="106" t="s">
        <v>113</v>
      </c>
      <c r="C31" s="112">
        <v>0.1705124160929645</v>
      </c>
      <c r="D31" s="112">
        <v>2.2348077517649317E-2</v>
      </c>
      <c r="E31" s="112">
        <v>0.16381879960585999</v>
      </c>
      <c r="F31" s="112">
        <v>2.2630490501504955E-2</v>
      </c>
      <c r="G31" s="112">
        <v>0.17276394361596473</v>
      </c>
      <c r="H31" s="112">
        <v>2.3095117499263115E-2</v>
      </c>
    </row>
    <row r="32" spans="1:8">
      <c r="A32" t="s">
        <v>161</v>
      </c>
      <c r="B32" s="106" t="s">
        <v>114</v>
      </c>
      <c r="C32" s="123">
        <v>3.0110656486035302E-2</v>
      </c>
      <c r="D32" s="112">
        <v>4.2089467688036865E-4</v>
      </c>
      <c r="E32" s="123">
        <v>3.5444723088567012E-2</v>
      </c>
      <c r="F32" s="112">
        <v>4.742853273978648E-4</v>
      </c>
      <c r="G32" s="123">
        <v>3.9931553993998184E-2</v>
      </c>
      <c r="H32" s="112">
        <v>5.1079799661495669E-4</v>
      </c>
    </row>
    <row r="33" spans="1:8">
      <c r="A33" t="s">
        <v>162</v>
      </c>
      <c r="B33" s="106" t="s">
        <v>115</v>
      </c>
      <c r="C33" s="112">
        <v>0.10663226967158308</v>
      </c>
      <c r="D33" s="112">
        <v>1.9674840203559807E-2</v>
      </c>
      <c r="E33" s="112">
        <v>0.13690539369197394</v>
      </c>
      <c r="F33" s="112">
        <v>1.593874028337601E-2</v>
      </c>
      <c r="G33" s="112">
        <v>0.15884629193354985</v>
      </c>
      <c r="H33" s="112">
        <v>2.0958219191914172E-2</v>
      </c>
    </row>
    <row r="34" spans="1:8">
      <c r="A34" t="s">
        <v>163</v>
      </c>
      <c r="B34" s="106" t="s">
        <v>116</v>
      </c>
      <c r="C34" s="112">
        <v>0.16650417063665118</v>
      </c>
      <c r="D34" s="112">
        <v>1.3479867791026747E-2</v>
      </c>
      <c r="E34" s="112">
        <v>0.16219097971075438</v>
      </c>
      <c r="F34" s="112">
        <v>1.2279348088614674E-2</v>
      </c>
      <c r="G34" s="112">
        <v>0.16256503853073453</v>
      </c>
      <c r="H34" s="112">
        <v>1.2654477613794231E-2</v>
      </c>
    </row>
    <row r="35" spans="1:8">
      <c r="A35" t="s">
        <v>164</v>
      </c>
      <c r="B35" s="106" t="s">
        <v>117</v>
      </c>
      <c r="C35" s="112">
        <v>0.14532732264405196</v>
      </c>
      <c r="D35" s="112">
        <v>1.9677635027023407E-2</v>
      </c>
      <c r="E35" s="112">
        <v>0.1470377052727268</v>
      </c>
      <c r="F35" s="112">
        <v>1.7700055341999522E-2</v>
      </c>
      <c r="G35" s="112">
        <v>0.15030156462143154</v>
      </c>
      <c r="H35" s="112">
        <v>1.7394888282324484E-2</v>
      </c>
    </row>
    <row r="36" spans="1:8">
      <c r="A36" t="s">
        <v>165</v>
      </c>
      <c r="B36" s="106" t="s">
        <v>118</v>
      </c>
      <c r="C36" s="112">
        <v>7.0597995584016054E-2</v>
      </c>
      <c r="D36" s="112">
        <v>3.8651326912053495E-2</v>
      </c>
      <c r="E36" s="112">
        <v>8.0029367573890384E-2</v>
      </c>
      <c r="F36" s="112">
        <v>3.0873583351711864E-2</v>
      </c>
      <c r="G36" s="112">
        <v>9.6316105035009925E-2</v>
      </c>
      <c r="H36" s="112">
        <v>2.6460799084931749E-2</v>
      </c>
    </row>
    <row r="37" spans="1:8">
      <c r="A37" t="s">
        <v>166</v>
      </c>
      <c r="B37" s="106" t="s">
        <v>119</v>
      </c>
      <c r="C37" s="112">
        <v>0.23481752954579982</v>
      </c>
      <c r="D37" s="112">
        <v>8.6886051278264598E-3</v>
      </c>
      <c r="E37" s="112">
        <v>0.24769714177013036</v>
      </c>
      <c r="F37" s="112">
        <v>1.0049017456825588E-2</v>
      </c>
      <c r="G37" s="112">
        <v>0.25024031415614117</v>
      </c>
      <c r="H37" s="112">
        <v>1.2569464961105642E-2</v>
      </c>
    </row>
    <row r="38" spans="1:8">
      <c r="A38" t="s">
        <v>167</v>
      </c>
      <c r="B38" s="106" t="s">
        <v>120</v>
      </c>
      <c r="C38" s="145">
        <v>0.20030000000000001</v>
      </c>
      <c r="D38" s="145">
        <f>VLOOKUP($B38,Dane2021!$B:$H,5,0)</f>
        <v>1.8736743258513402E-4</v>
      </c>
      <c r="E38" s="145">
        <v>0.1923</v>
      </c>
      <c r="F38" s="112">
        <v>1.8736743258513402E-4</v>
      </c>
      <c r="G38" s="112">
        <v>0.20080293556906037</v>
      </c>
      <c r="H38" s="112">
        <v>6.192135191819396E-4</v>
      </c>
    </row>
    <row r="39" spans="1:8">
      <c r="A39" t="s">
        <v>168</v>
      </c>
      <c r="B39" s="106" t="s">
        <v>121</v>
      </c>
      <c r="C39" s="145">
        <v>0.15054485633702291</v>
      </c>
      <c r="D39" s="145">
        <v>1.1528766034935535E-3</v>
      </c>
      <c r="E39" s="145">
        <v>0.1517648769204723</v>
      </c>
      <c r="F39" s="112">
        <v>2.5567732360425694E-4</v>
      </c>
      <c r="G39" s="112">
        <v>0.15470652431732609</v>
      </c>
      <c r="H39" s="112">
        <v>4.8297381462806383E-4</v>
      </c>
    </row>
    <row r="40" spans="1:8" ht="13.5" thickBot="1">
      <c r="A40" t="s">
        <v>169</v>
      </c>
      <c r="B40" s="106" t="s">
        <v>122</v>
      </c>
      <c r="C40" s="112">
        <v>0.11278804298573088</v>
      </c>
      <c r="D40" s="112">
        <v>5.073069721033896E-2</v>
      </c>
      <c r="E40" s="112">
        <v>0.10967590705558858</v>
      </c>
      <c r="F40" s="112">
        <v>4.5757063527449383E-2</v>
      </c>
      <c r="G40" s="112">
        <v>0.12010208003803784</v>
      </c>
      <c r="H40" s="112">
        <v>4.669082512328708E-2</v>
      </c>
    </row>
    <row r="41" spans="1:8" ht="15.75" thickBot="1">
      <c r="B41" s="42" t="s">
        <v>47</v>
      </c>
      <c r="C41" s="124">
        <v>0.1667016778528051</v>
      </c>
      <c r="D41" s="125">
        <v>0.44937665111976011</v>
      </c>
      <c r="E41" s="124">
        <v>0.16931146459481017</v>
      </c>
      <c r="F41" s="125">
        <v>0.43234428828005728</v>
      </c>
      <c r="G41" s="124">
        <v>0.18289153760656726</v>
      </c>
      <c r="H41" s="125">
        <v>0.44107771913893101</v>
      </c>
    </row>
    <row r="42" spans="1:8" ht="13.5" thickBot="1">
      <c r="B42" s="106"/>
      <c r="C42" s="112"/>
      <c r="D42" s="117"/>
      <c r="E42" s="112"/>
      <c r="F42" s="117"/>
      <c r="G42" s="112"/>
      <c r="H42" s="117"/>
    </row>
    <row r="43" spans="1:8" ht="15.75" thickBot="1">
      <c r="B43" s="42" t="s">
        <v>48</v>
      </c>
      <c r="C43" s="126">
        <v>0.17686054140783949</v>
      </c>
      <c r="D43" s="127">
        <v>1</v>
      </c>
      <c r="E43" s="126">
        <v>0.18326300085470071</v>
      </c>
      <c r="F43" s="127">
        <v>1</v>
      </c>
      <c r="G43" s="126">
        <v>0.18848832196961479</v>
      </c>
      <c r="H43" s="127">
        <v>1</v>
      </c>
    </row>
    <row r="44" spans="1:8">
      <c r="C44" s="128"/>
      <c r="D44" s="129"/>
      <c r="E44" s="128"/>
      <c r="F44" s="129"/>
      <c r="G44" s="128"/>
      <c r="H44" s="129"/>
    </row>
    <row r="45" spans="1:8">
      <c r="A45" t="s">
        <v>170</v>
      </c>
      <c r="B45" s="106" t="s">
        <v>123</v>
      </c>
      <c r="C45" s="112"/>
      <c r="D45" s="112"/>
      <c r="E45" s="112"/>
      <c r="F45" s="112"/>
      <c r="G45" s="112"/>
      <c r="H45" s="112"/>
    </row>
    <row r="46" spans="1:8">
      <c r="A46" t="s">
        <v>171</v>
      </c>
      <c r="B46" s="106" t="s">
        <v>124</v>
      </c>
      <c r="C46" s="112"/>
      <c r="D46" s="112"/>
      <c r="E46" s="112"/>
      <c r="F46" s="112"/>
      <c r="G46" s="112"/>
      <c r="H46" s="112"/>
    </row>
    <row r="47" spans="1:8">
      <c r="A47" t="s">
        <v>172</v>
      </c>
      <c r="B47" s="106" t="s">
        <v>125</v>
      </c>
      <c r="C47" s="112"/>
      <c r="D47" s="112"/>
      <c r="E47" s="112"/>
      <c r="F47" s="112"/>
      <c r="G47" s="112"/>
      <c r="H47" s="112"/>
    </row>
    <row r="48" spans="1:8">
      <c r="A48" t="s">
        <v>173</v>
      </c>
      <c r="B48" s="106" t="s">
        <v>126</v>
      </c>
      <c r="C48" s="112"/>
      <c r="D48" s="112"/>
      <c r="E48" s="112"/>
      <c r="F48" s="112"/>
      <c r="G48" s="112"/>
      <c r="H48" s="112"/>
    </row>
    <row r="49" spans="1:8">
      <c r="A49" t="s">
        <v>174</v>
      </c>
      <c r="B49" s="106" t="s">
        <v>127</v>
      </c>
      <c r="C49" s="112"/>
      <c r="D49" s="112"/>
      <c r="E49" s="112"/>
      <c r="F49" s="112"/>
      <c r="G49" s="112"/>
      <c r="H49" s="112"/>
    </row>
    <row r="50" spans="1:8">
      <c r="A50" t="s">
        <v>175</v>
      </c>
      <c r="B50" s="106" t="s">
        <v>128</v>
      </c>
      <c r="C50" s="112"/>
      <c r="D50" s="112"/>
      <c r="E50" s="112"/>
      <c r="F50" s="112"/>
      <c r="G50" s="112"/>
      <c r="H50" s="112"/>
    </row>
    <row r="51" spans="1:8">
      <c r="A51" t="s">
        <v>176</v>
      </c>
      <c r="B51" s="106" t="s">
        <v>129</v>
      </c>
      <c r="C51" s="112"/>
      <c r="D51" s="112"/>
      <c r="E51" s="112"/>
      <c r="F51" s="112"/>
      <c r="G51" s="112"/>
      <c r="H51" s="112"/>
    </row>
    <row r="52" spans="1:8">
      <c r="A52" t="s">
        <v>177</v>
      </c>
      <c r="B52" s="106" t="s">
        <v>130</v>
      </c>
      <c r="C52" s="140">
        <f>VLOOKUP($B52,Dane2021!$B:$H,3,0)</f>
        <v>0</v>
      </c>
      <c r="D52" s="140">
        <f>VLOOKUP($B52,Dane2021!$B:$H,5,0)</f>
        <v>0</v>
      </c>
      <c r="E52" s="140">
        <f>VLOOKUP($B52,Dane2021!$B:$H,7,0)</f>
        <v>0</v>
      </c>
      <c r="F52" s="112"/>
      <c r="G52" s="112"/>
      <c r="H52" s="112"/>
    </row>
    <row r="53" spans="1:8">
      <c r="A53" t="s">
        <v>160</v>
      </c>
      <c r="B53" s="63"/>
      <c r="C53" s="112"/>
      <c r="D53" s="112"/>
      <c r="E53" s="112"/>
      <c r="F53" s="112"/>
      <c r="G53" s="112"/>
      <c r="H53" s="112"/>
    </row>
    <row r="54" spans="1:8">
      <c r="A54" t="s">
        <v>178</v>
      </c>
      <c r="B54" s="106" t="s">
        <v>131</v>
      </c>
      <c r="C54" s="112"/>
      <c r="D54" s="112"/>
      <c r="E54" s="112"/>
      <c r="F54" s="112"/>
      <c r="G54" s="112"/>
      <c r="H54" s="112"/>
    </row>
    <row r="55" spans="1:8">
      <c r="A55" t="s">
        <v>179</v>
      </c>
      <c r="B55" s="106" t="s">
        <v>132</v>
      </c>
      <c r="C55" s="112"/>
      <c r="D55" s="112"/>
      <c r="E55" s="112"/>
      <c r="F55" s="112"/>
      <c r="G55" s="112"/>
      <c r="H55" s="112"/>
    </row>
    <row r="56" spans="1:8" ht="13.5" thickBot="1">
      <c r="A56" t="s">
        <v>180</v>
      </c>
      <c r="B56" s="106" t="s">
        <v>133</v>
      </c>
      <c r="C56" s="112"/>
      <c r="D56" s="112"/>
      <c r="E56" s="112"/>
      <c r="F56" s="112"/>
      <c r="G56" s="112"/>
      <c r="H56" s="112"/>
    </row>
    <row r="57" spans="1:8" ht="15.75" thickBot="1">
      <c r="B57" s="42" t="s">
        <v>50</v>
      </c>
      <c r="C57" s="130">
        <v>0.21817713409620679</v>
      </c>
      <c r="D57" s="131">
        <v>4.6449743195138782E-2</v>
      </c>
      <c r="E57" s="130">
        <v>0.22372045878314947</v>
      </c>
      <c r="F57" s="131">
        <v>6.4346590691785638E-2</v>
      </c>
      <c r="G57" s="130">
        <v>0.22754970152185358</v>
      </c>
      <c r="H57" s="131">
        <v>7.6894936915227016E-2</v>
      </c>
    </row>
    <row r="58" spans="1:8">
      <c r="A58" t="s">
        <v>181</v>
      </c>
      <c r="B58" s="106" t="s">
        <v>134</v>
      </c>
      <c r="C58" s="112">
        <v>6.1645028173156147E-2</v>
      </c>
      <c r="D58" s="117">
        <v>4.3899705201946977E-2</v>
      </c>
      <c r="E58" s="112">
        <v>6.421985241011556E-2</v>
      </c>
      <c r="F58" s="117">
        <v>3.3426940696653765E-2</v>
      </c>
      <c r="G58" s="112">
        <v>5.8953184747977144E-2</v>
      </c>
      <c r="H58" s="117">
        <v>2.949399254669173E-2</v>
      </c>
    </row>
    <row r="59" spans="1:8">
      <c r="A59" t="s">
        <v>182</v>
      </c>
      <c r="B59" s="106" t="s">
        <v>135</v>
      </c>
      <c r="C59" s="142">
        <v>0</v>
      </c>
      <c r="D59" s="142">
        <v>0</v>
      </c>
      <c r="E59" s="142">
        <v>0</v>
      </c>
      <c r="F59" s="132">
        <v>1.1757869963238837E-5</v>
      </c>
      <c r="G59" s="132">
        <v>0</v>
      </c>
      <c r="H59" s="132">
        <v>1.201954585524024E-5</v>
      </c>
    </row>
    <row r="60" spans="1:8">
      <c r="A60" t="s">
        <v>183</v>
      </c>
      <c r="B60" s="63" t="s">
        <v>136</v>
      </c>
      <c r="C60" s="112">
        <v>0.04</v>
      </c>
      <c r="D60" s="112">
        <v>2E-3</v>
      </c>
      <c r="E60" s="112">
        <v>4.8499999999999995E-2</v>
      </c>
      <c r="F60" s="112">
        <v>2.0000000000000005E-3</v>
      </c>
      <c r="G60" s="112">
        <v>0.04</v>
      </c>
      <c r="H60" s="112">
        <v>1.5000000000000002E-3</v>
      </c>
    </row>
    <row r="61" spans="1:8" ht="13.5" thickBot="1">
      <c r="B61" s="106" t="s">
        <v>137</v>
      </c>
      <c r="C61" s="112">
        <v>6.1645028173156147E-2</v>
      </c>
      <c r="D61" s="117">
        <v>4.3899705201946977E-2</v>
      </c>
      <c r="E61" s="112">
        <v>6.421985241011556E-2</v>
      </c>
      <c r="F61" s="117">
        <v>3.3426940696653765E-2</v>
      </c>
      <c r="G61" s="112">
        <v>5.8953184747977144E-2</v>
      </c>
      <c r="H61" s="117">
        <v>2.949399254669173E-2</v>
      </c>
    </row>
    <row r="62" spans="1:8" ht="15.75" thickBot="1">
      <c r="B62" s="42" t="s">
        <v>38</v>
      </c>
      <c r="C62" s="133">
        <v>0.17341150584040801</v>
      </c>
      <c r="D62" s="134">
        <v>1</v>
      </c>
      <c r="E62" s="133">
        <v>0.18155561391092054</v>
      </c>
      <c r="F62" s="134">
        <v>1</v>
      </c>
      <c r="G62" s="133">
        <v>0.18739605891685029</v>
      </c>
      <c r="H62" s="134">
        <v>1</v>
      </c>
    </row>
    <row r="64" spans="1:8">
      <c r="B64" s="40">
        <v>0.42279442562319636</v>
      </c>
    </row>
    <row r="65" spans="2:8">
      <c r="B65" s="40">
        <v>-1.2757133265656195E-2</v>
      </c>
    </row>
    <row r="73" spans="2:8">
      <c r="B73" s="109"/>
      <c r="C73" s="135"/>
      <c r="D73" s="135"/>
      <c r="E73" s="136"/>
      <c r="F73" s="136"/>
      <c r="G73" s="136"/>
      <c r="H73" s="136"/>
    </row>
    <row r="74" spans="2:8">
      <c r="B74" s="109"/>
      <c r="C74" s="135"/>
      <c r="D74" s="135"/>
      <c r="E74" s="136"/>
      <c r="F74" s="136"/>
      <c r="G74" s="136"/>
      <c r="H74" s="136"/>
    </row>
    <row r="75" spans="2:8">
      <c r="B75" s="109"/>
      <c r="C75" s="135"/>
      <c r="D75" s="135"/>
      <c r="E75" s="136"/>
      <c r="F75" s="136"/>
      <c r="G75" s="136"/>
      <c r="H75" s="136"/>
    </row>
    <row r="76" spans="2:8">
      <c r="B76" s="110"/>
      <c r="C76" s="137"/>
      <c r="D76" s="137"/>
      <c r="E76" s="138"/>
      <c r="F76" s="138"/>
      <c r="G76" s="138"/>
      <c r="H76" s="138"/>
    </row>
    <row r="77" spans="2:8">
      <c r="B77" s="109"/>
      <c r="C77" s="135"/>
      <c r="D77" s="135"/>
      <c r="E77" s="136"/>
      <c r="F77" s="136"/>
      <c r="G77" s="136"/>
      <c r="H77" s="136"/>
    </row>
    <row r="78" spans="2:8">
      <c r="B78" s="109"/>
      <c r="C78" s="135"/>
      <c r="D78" s="135"/>
      <c r="E78" s="136"/>
      <c r="F78" s="136"/>
      <c r="G78" s="136"/>
      <c r="H78" s="136"/>
    </row>
    <row r="79" spans="2:8">
      <c r="B79" s="109"/>
      <c r="C79" s="135"/>
      <c r="D79" s="135"/>
      <c r="E79" s="136"/>
      <c r="F79" s="136"/>
      <c r="G79" s="136"/>
      <c r="H79" s="136"/>
    </row>
    <row r="80" spans="2:8">
      <c r="B80" s="109"/>
      <c r="C80" s="135"/>
      <c r="D80" s="135"/>
      <c r="E80" s="136"/>
      <c r="F80" s="136"/>
      <c r="G80" s="136"/>
      <c r="H80" s="136"/>
    </row>
    <row r="81" spans="2:8">
      <c r="B81" s="109"/>
      <c r="C81" s="135"/>
      <c r="D81" s="135"/>
      <c r="E81" s="136"/>
      <c r="F81" s="136"/>
      <c r="G81" s="136"/>
      <c r="H81" s="136"/>
    </row>
    <row r="82" spans="2:8">
      <c r="B82" s="109"/>
      <c r="C82" s="135"/>
      <c r="D82" s="135"/>
      <c r="E82" s="136"/>
      <c r="F82" s="136"/>
      <c r="G82" s="136"/>
      <c r="H82" s="136"/>
    </row>
    <row r="83" spans="2:8">
      <c r="B83" s="109"/>
      <c r="C83" s="135"/>
      <c r="D83" s="135"/>
      <c r="E83" s="136"/>
      <c r="F83" s="136"/>
      <c r="G83" s="136"/>
      <c r="H83" s="136"/>
    </row>
    <row r="84" spans="2:8">
      <c r="B84" s="109"/>
      <c r="C84" s="135"/>
      <c r="D84" s="135"/>
      <c r="E84" s="136"/>
      <c r="F84" s="136"/>
      <c r="G84" s="136"/>
      <c r="H84" s="136"/>
    </row>
    <row r="85" spans="2:8">
      <c r="B85" s="109"/>
      <c r="C85" s="135"/>
      <c r="D85" s="135"/>
      <c r="E85" s="136"/>
      <c r="F85" s="136"/>
      <c r="G85" s="136"/>
      <c r="H85" s="136"/>
    </row>
    <row r="86" spans="2:8">
      <c r="B86" s="109"/>
      <c r="C86" s="135"/>
      <c r="D86" s="135"/>
      <c r="E86" s="136"/>
      <c r="F86" s="136"/>
      <c r="G86" s="136"/>
      <c r="H86" s="136"/>
    </row>
    <row r="87" spans="2:8">
      <c r="B87" s="109"/>
      <c r="C87" s="135"/>
      <c r="D87" s="135"/>
      <c r="E87" s="136"/>
      <c r="F87" s="136"/>
      <c r="G87" s="136"/>
      <c r="H87" s="136"/>
    </row>
  </sheetData>
  <conditionalFormatting sqref="F73:F87 H73:H87">
    <cfRule type="containsBlanks" priority="5" stopIfTrue="1">
      <formula>LEN(TRIM(F73))=0</formula>
    </cfRule>
    <cfRule type="cellIs" dxfId="2" priority="6" operator="greaterThan">
      <formula>0</formula>
    </cfRule>
    <cfRule type="cellIs" dxfId="1" priority="7" operator="equal">
      <formula>0</formula>
    </cfRule>
    <cfRule type="cellIs" dxfId="0" priority="8" operator="lessThan">
      <formula>0</formula>
    </cfRule>
  </conditionalFormatting>
  <pageMargins left="0.7" right="0.7" top="0.75" bottom="0.75" header="0.3" footer="0.3"/>
  <pageSetup paperSize="256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Zakresy nazwane</vt:lpstr>
      </vt:variant>
      <vt:variant>
        <vt:i4>1</vt:i4>
      </vt:variant>
    </vt:vector>
  </HeadingPairs>
  <TitlesOfParts>
    <vt:vector size="8" baseType="lpstr">
      <vt:lpstr>RAPORT</vt:lpstr>
      <vt:lpstr>SPRZEDAŻ</vt:lpstr>
      <vt:lpstr>PL</vt:lpstr>
      <vt:lpstr>RW</vt:lpstr>
      <vt:lpstr>BUDŻET</vt:lpstr>
      <vt:lpstr>Dane2021</vt:lpstr>
      <vt:lpstr>Arkusz1</vt:lpstr>
      <vt:lpstr>FormatSklepu</vt:lpstr>
    </vt:vector>
  </TitlesOfParts>
  <Company>ORAF Sp. z o.o.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ut14f610</dc:creator>
  <cp:lastModifiedBy>***</cp:lastModifiedBy>
  <cp:lastPrinted>2026-09-03T10:14:40Z</cp:lastPrinted>
  <dcterms:created xsi:type="dcterms:W3CDTF">2014-04-26T11:44:16Z</dcterms:created>
  <dcterms:modified xsi:type="dcterms:W3CDTF">2026-09-28T06:02:42Z</dcterms:modified>
</cp:coreProperties>
</file>